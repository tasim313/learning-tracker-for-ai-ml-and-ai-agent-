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aster Roadmap" sheetId="2" state="visible" r:id="rId2"/>
    <sheet name="Detailed Learning Tracker" sheetId="3" state="visible" r:id="rId3"/>
    <sheet name="Official Learning Resources" sheetId="4" state="visible" r:id="rId4"/>
    <sheet name="Topic Completion Checklist" sheetId="5" state="visible" r:id="rId5"/>
    <sheet name="Tutorial and Course Tracker" sheetId="6" state="visible" r:id="rId6"/>
    <sheet name="AI Project Backlog" sheetId="7" state="visible" r:id="rId7"/>
    <sheet name="Daily Study Agenda" sheetId="8" state="visible" r:id="rId8"/>
    <sheet name="Weekly Review and Analysis" sheetId="9" state="visible" r:id="rId9"/>
    <sheet name="Progress Dashboard" sheetId="10" state="visible" r:id="rId10"/>
    <sheet name="Notes and Document Library" sheetId="11" state="visible" r:id="rId11"/>
    <sheet name="AI Experiment Log" sheetId="12" state="visible" r:id="rId12"/>
    <sheet name="Commercial Product Validation" sheetId="13" state="visible" r:id="rId13"/>
  </sheets>
  <definedNames>
    <definedName name="_xlnm._FilterDatabase" localSheetId="1" hidden="1">'Master Roadmap'!$A$4:$P$16</definedName>
    <definedName name="_xlnm._FilterDatabase" localSheetId="2" hidden="1">'Detailed Learning Tracker'!$A$4:$Y$40</definedName>
    <definedName name="_xlnm._FilterDatabase" localSheetId="3" hidden="1">'Official Learning Resources'!$A$4:$P$29</definedName>
    <definedName name="_xlnm._FilterDatabase" localSheetId="4" hidden="1">'Topic Completion Checklist'!$A$4:$M$56</definedName>
    <definedName name="_xlnm._FilterDatabase" localSheetId="5" hidden="1">'Tutorial and Course Tracker'!$A$4:$P$20</definedName>
    <definedName name="_xlnm._FilterDatabase" localSheetId="6" hidden="1">'AI Project Backlog'!$A$4:$T$14</definedName>
    <definedName name="_xlnm._FilterDatabase" localSheetId="7" hidden="1">'Daily Study Agenda'!$A$4:$K$34</definedName>
    <definedName name="_xlnm._FilterDatabase" localSheetId="8" hidden="1">'Weekly Review and Analysis'!$A$4:$Q$16</definedName>
    <definedName name="_xlnm._FilterDatabase" localSheetId="10" hidden="1">'Notes and Document Library'!$A$4:$M$14</definedName>
    <definedName name="_xlnm._FilterDatabase" localSheetId="11" hidden="1">'AI Experiment Log'!$A$4:$Q$12</definedName>
    <definedName name="_xlnm._FilterDatabase" localSheetId="12" hidden="1">'Commercial Product Validation'!$A$4:$R$10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1A365D"/>
      <sz val="15"/>
    </font>
    <font>
      <name val="Segoe UI"/>
      <i val="1"/>
      <color rgb="004A5568"/>
      <sz val="10"/>
    </font>
    <font>
      <name val="Segoe UI"/>
      <b val="1"/>
      <color rgb="00FFFFFF"/>
      <sz val="11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1A365D"/>
      <sz val="9"/>
    </font>
    <font>
      <name val="Segoe UI"/>
      <b val="1"/>
      <color rgb="001A365D"/>
      <sz val="14"/>
    </font>
    <font>
      <name val="Segoe UI"/>
      <b val="1"/>
      <color rgb="00FFFFFF"/>
      <sz val="9"/>
    </font>
    <font>
      <name val="Segoe UI"/>
      <b val="1"/>
      <color rgb="001A365D"/>
      <sz val="10"/>
    </font>
    <font>
      <name val="Segoe UI"/>
      <color rgb="000969DA"/>
      <sz val="9"/>
      <u val="single"/>
    </font>
    <font>
      <name val="Segoe UI"/>
      <b val="1"/>
      <color rgb="004A5568"/>
      <sz val="9"/>
    </font>
    <font>
      <name val="Segoe UI"/>
      <b val="1"/>
      <color rgb="001A365D"/>
      <sz val="18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0F4F8"/>
        <bgColor rgb="00F0F4F8"/>
      </patternFill>
    </fill>
    <fill>
      <patternFill patternType="solid">
        <fgColor rgb="002C7A7B"/>
        <bgColor rgb="002C7A7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DF2F7"/>
        <bgColor rgb="00EDF2F7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365D"/>
      </bottom>
    </border>
    <border>
      <left style="thin">
        <color rgb="00CBD5E0"/>
      </left>
      <right style="thin">
        <color rgb="00CBD5E0"/>
      </right>
      <top style="medium">
        <color rgb="001A365D"/>
      </top>
      <bottom style="thin">
        <color rgb="00CBD5E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6" fillId="3" borderId="1" pivotButton="0" quotePrefix="0" xfId="0"/>
    <xf numFmtId="0" fontId="4" fillId="3" borderId="1" pivotButton="0" quotePrefix="0" xfId="0"/>
    <xf numFmtId="0" fontId="4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0" fontId="9" fillId="7" borderId="2" applyAlignment="1" pivotButton="0" quotePrefix="0" xfId="0">
      <alignment horizontal="right" vertical="center"/>
    </xf>
    <xf numFmtId="0" fontId="0" fillId="7" borderId="2" pivotButton="0" quotePrefix="0" xfId="0"/>
    <xf numFmtId="3" fontId="9" fillId="7" borderId="2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9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9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5" fontId="9" fillId="7" borderId="2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11" fillId="3" borderId="3" applyAlignment="1" pivotButton="0" quotePrefix="0" xfId="0">
      <alignment horizontal="center" vertical="center"/>
    </xf>
    <xf numFmtId="0" fontId="0" fillId="3" borderId="3" pivotButton="0" quotePrefix="0" xfId="0"/>
    <xf numFmtId="3" fontId="12" fillId="3" borderId="1" applyAlignment="1" pivotButton="0" quotePrefix="0" xfId="0">
      <alignment horizontal="center" vertical="center"/>
    </xf>
    <xf numFmtId="0" fontId="0" fillId="3" borderId="1" pivotButton="0" quotePrefix="0" xfId="0"/>
    <xf numFmtId="166" fontId="12" fillId="3" borderId="1" applyAlignment="1" pivotButton="0" quotePrefix="0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6" fillId="7" borderId="2" applyAlignment="1" pivotButton="0" quotePrefix="0" xfId="0">
      <alignment horizontal="right" vertical="center"/>
    </xf>
    <xf numFmtId="3" fontId="6" fillId="7" borderId="2" applyAlignment="1" pivotButton="0" quotePrefix="0" xfId="0">
      <alignment horizontal="right" vertical="center"/>
    </xf>
    <xf numFmtId="165" fontId="6" fillId="7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166" fontId="6" fillId="7" borderId="2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Planned vs. Actual Study Hours by Curriculum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'Progress Dashboard'!C13</f>
            </strRef>
          </tx>
          <spPr>
            <a:ln>
              <a:prstDash val="solid"/>
            </a:ln>
          </spPr>
          <cat>
            <numRef>
              <f>'Progress Dashboard'!$A$14:$A$25</f>
            </numRef>
          </cat>
          <val>
            <numRef>
              <f>'Progress Dashboard'!$C$14:$C$25</f>
            </numRef>
          </val>
        </ser>
        <ser>
          <idx val="1"/>
          <order val="1"/>
          <tx>
            <strRef>
              <f>'Progress Dashboard'!D13</f>
            </strRef>
          </tx>
          <spPr>
            <a:ln>
              <a:prstDash val="solid"/>
            </a:ln>
          </spPr>
          <cat>
            <numRef>
              <f>'Progress Dashboard'!$A$14:$A$25</f>
            </numRef>
          </cat>
          <val>
            <numRef>
              <f>'Progress Dashboard'!$D$14:$D$25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11</row>
      <rowOff>0</rowOff>
    </from>
    <ext cx="61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24" customWidth="1" min="4" max="4"/>
    <col width="24" customWidth="1" min="5" max="5"/>
    <col width="20" customWidth="1" min="6" max="6"/>
    <col width="20" customWidth="1" min="7" max="7"/>
  </cols>
  <sheetData>
    <row r="1" ht="26" customHeight="1">
      <c r="A1" s="1" t="inlineStr">
        <is>
          <t>AI / ML &amp; AI AGENT ENGINEERING MASTER TRACKER</t>
        </is>
      </c>
    </row>
    <row r="2" ht="18" customHeight="1">
      <c r="A2" s="2" t="inlineStr">
        <is>
          <t>Evidence-Based Learning Management System &amp; Roadmap for Building Autonomous AI Sales Employees &amp; Commercial Products</t>
        </is>
      </c>
    </row>
    <row r="4" ht="24" customHeight="1">
      <c r="A4" s="3" t="inlineStr">
        <is>
          <t xml:space="preserve">  1. LEARNER PROFILE &amp; STRATEGIC CAREER OBJECTIVES</t>
        </is>
      </c>
      <c r="B4" s="4" t="n"/>
      <c r="C4" s="4" t="n"/>
      <c r="D4" s="4" t="n"/>
      <c r="E4" s="4" t="n"/>
      <c r="F4" s="4" t="n"/>
      <c r="G4" s="4" t="n"/>
    </row>
    <row r="5" ht="20" customHeight="1">
      <c r="A5" s="5" t="inlineStr">
        <is>
          <t>Current OS &amp; Tools</t>
        </is>
      </c>
      <c r="B5" s="6" t="inlineStr">
        <is>
          <t>Ubuntu Linux | VS Code | Git &amp; GitHub | Python 3.10+ | PyTorch | FastAPI | PostgreSQL | Docker</t>
        </is>
      </c>
      <c r="C5" s="4" t="n"/>
      <c r="D5" s="4" t="n"/>
      <c r="E5" s="4" t="n"/>
      <c r="F5" s="4" t="n"/>
      <c r="G5" s="4" t="n"/>
    </row>
    <row r="6" ht="20" customHeight="1">
      <c r="A6" s="5" t="inlineStr">
        <is>
          <t>Current Background</t>
        </is>
      </c>
      <c r="B6" s="6" t="inlineStr">
        <is>
          <t>Backend development experience (Python, Django, REST APIs, SQL databases). Strong foundation in web and data services.</t>
        </is>
      </c>
      <c r="C6" s="4" t="n"/>
      <c r="D6" s="4" t="n"/>
      <c r="E6" s="4" t="n"/>
      <c r="F6" s="4" t="n"/>
      <c r="G6" s="4" t="n"/>
    </row>
    <row r="7" ht="20" customHeight="1">
      <c r="A7" s="5" t="inlineStr">
        <is>
          <t>Primary Career Goal</t>
        </is>
      </c>
      <c r="B7" s="6" t="inlineStr">
        <is>
          <t>Master AI, Machine Learning, Deep Learning, LLMs, and AI Agent Engineering from foundations to advanced commercial systems.</t>
        </is>
      </c>
      <c r="C7" s="4" t="n"/>
      <c r="D7" s="4" t="n"/>
      <c r="E7" s="4" t="n"/>
      <c r="F7" s="4" t="n"/>
      <c r="G7" s="4" t="n"/>
    </row>
    <row r="8" ht="20" customHeight="1">
      <c r="A8" s="5" t="inlineStr">
        <is>
          <t>Target Commercial Goal</t>
        </is>
      </c>
      <c r="B8" s="6" t="inlineStr">
        <is>
          <t>Design, build, deploy, and sell an Autonomous AI Sales Employee capable of performing end-to-end B2B sales cycles.</t>
        </is>
      </c>
      <c r="C8" s="4" t="n"/>
      <c r="D8" s="4" t="n"/>
      <c r="E8" s="4" t="n"/>
      <c r="F8" s="4" t="n"/>
      <c r="G8" s="4" t="n"/>
    </row>
    <row r="9" ht="20" customHeight="1">
      <c r="A9" s="5" t="inlineStr">
        <is>
          <t>Recommended Pace</t>
        </is>
      </c>
      <c r="B9" s="6" t="inlineStr">
        <is>
          <t>12 Months | 2–3 hours per day | 6 days per week | Minimum 750–900 cumulative focused learning hours.</t>
        </is>
      </c>
      <c r="C9" s="4" t="n"/>
      <c r="D9" s="4" t="n"/>
      <c r="E9" s="4" t="n"/>
      <c r="F9" s="4" t="n"/>
      <c r="G9" s="4" t="n"/>
    </row>
    <row r="11" ht="24" customHeight="1">
      <c r="A11" s="7" t="inlineStr">
        <is>
          <t xml:space="preserve">  2. TARGET COMMERCIAL PRODUCT: AUTONOMOUS AI SALES EMPLOYEE (12 CORE CAPABILITIES)</t>
        </is>
      </c>
      <c r="B11" s="4" t="n"/>
      <c r="C11" s="4" t="n"/>
      <c r="D11" s="4" t="n"/>
      <c r="E11" s="4" t="n"/>
      <c r="F11" s="4" t="n"/>
      <c r="G11" s="4" t="n"/>
    </row>
    <row r="12" ht="24" customHeight="1">
      <c r="A12" s="8" t="inlineStr">
        <is>
          <t>1. Lead Discovery</t>
        </is>
      </c>
      <c r="B12" s="6" t="inlineStr">
        <is>
          <t>Automatically search web, directories, and business APIs to find relevant target customer profiles and accounts.</t>
        </is>
      </c>
      <c r="C12" s="4" t="n"/>
      <c r="D12" s="8" t="inlineStr">
        <is>
          <t>2. Lead Qualification</t>
        </is>
      </c>
      <c r="E12" s="6" t="inlineStr">
        <is>
          <t>Conduct background research on companies, scrape key decision-makers, and score leads using the BANT framework.</t>
        </is>
      </c>
      <c r="F12" s="4" t="n"/>
      <c r="G12" s="4" t="n"/>
    </row>
    <row r="13" ht="24" customHeight="1">
      <c r="A13" s="8" t="inlineStr">
        <is>
          <t>3. Needs Discovery</t>
        </is>
      </c>
      <c r="B13" s="6" t="inlineStr">
        <is>
          <t>Engage leads in consultative dialogue to identify operational pain points, budget constraints, and purchase intent.</t>
        </is>
      </c>
      <c r="C13" s="4" t="n"/>
      <c r="D13" s="8" t="inlineStr">
        <is>
          <t>4. Omnichannel Outreach</t>
        </is>
      </c>
      <c r="E13" s="6" t="inlineStr">
        <is>
          <t>Communicate fluently across Email (SMTP/IMAP), Web Chat, WhatsApp Business API, and Voice synthesis.</t>
        </is>
      </c>
      <c r="F13" s="4" t="n"/>
      <c r="G13" s="4" t="n"/>
    </row>
    <row r="14" ht="24" customHeight="1">
      <c r="A14" s="8" t="inlineStr">
        <is>
          <t>5. Product Q&amp;A</t>
        </is>
      </c>
      <c r="B14" s="6" t="inlineStr">
        <is>
          <t>Answer complex technical and commercial questions with high accuracy using grounded Enterprise RAG pipelines.</t>
        </is>
      </c>
      <c r="C14" s="4" t="n"/>
      <c r="D14" s="8" t="inlineStr">
        <is>
          <t>6. Recommendation Engine</t>
        </is>
      </c>
      <c r="E14" s="6" t="inlineStr">
        <is>
          <t>Analyze lead requirements and recommend the optimal tier, product package, and customization options.</t>
        </is>
      </c>
      <c r="F14" s="4" t="n"/>
      <c r="G14" s="4" t="n"/>
    </row>
    <row r="15" ht="24" customHeight="1">
      <c r="A15" s="8" t="inlineStr">
        <is>
          <t>7. Guardrailed Negotiation</t>
        </is>
      </c>
      <c r="B15" s="6" t="inlineStr">
        <is>
          <t>Negotiate pricing, payment terms, and discounts strictly within predefined rule-based business boundaries.</t>
        </is>
      </c>
      <c r="C15" s="4" t="n"/>
      <c r="D15" s="8" t="inlineStr">
        <is>
          <t>8. Persistent Follow-ups</t>
        </is>
      </c>
      <c r="E15" s="6" t="inlineStr">
        <is>
          <t>Execute multi-touch follow-up sequences across days/weeks, adapting messaging dynamically to lead engagement.</t>
        </is>
      </c>
      <c r="F15" s="4" t="n"/>
      <c r="G15" s="4" t="n"/>
    </row>
    <row r="16" ht="24" customHeight="1">
      <c r="A16" s="8" t="inlineStr">
        <is>
          <t>9. Quotation &amp; Order Generation</t>
        </is>
      </c>
      <c r="B16" s="6" t="inlineStr">
        <is>
          <t>Generate formal PDF sales quotes, proforma invoices, and capture digital signatures or checkout triggers.</t>
        </is>
      </c>
      <c r="C16" s="4" t="n"/>
      <c r="D16" s="8" t="inlineStr">
        <is>
          <t>10. CRM &amp; ERP Sync</t>
        </is>
      </c>
      <c r="E16" s="6" t="inlineStr">
        <is>
          <t>Update HubSpot/Salesforce, trigger ERP workflows, write conversation logs, and synchronize pipeline status in real time.</t>
        </is>
      </c>
      <c r="F16" s="4" t="n"/>
      <c r="G16" s="4" t="n"/>
    </row>
    <row r="17" ht="24" customHeight="1">
      <c r="A17" s="8" t="inlineStr">
        <is>
          <t>11. Sales Analytics &amp; Tracking</t>
        </is>
      </c>
      <c r="B17" s="6" t="inlineStr">
        <is>
          <t>Log all interaction transcripts, sentiment trends, objection patterns, and conversion rates to a central database.</t>
        </is>
      </c>
      <c r="C17" s="4" t="n"/>
      <c r="D17" s="8" t="inlineStr">
        <is>
          <t>12. Human Escalation (HITL)</t>
        </is>
      </c>
      <c r="E17" s="6" t="inlineStr">
        <is>
          <t>Detect sensitive negotiations, angry customers, or complex custom requests and smoothly hand off to a human manager.</t>
        </is>
      </c>
      <c r="F17" s="4" t="n"/>
      <c r="G17" s="4" t="n"/>
    </row>
    <row r="19" ht="24" customHeight="1">
      <c r="A19" s="3" t="inlineStr">
        <is>
          <t xml:space="preserve">  3. RECOMMENDED DAILY STUDY ROUTINE (2.5 - 3.0 HOURS STRUCTURE)</t>
        </is>
      </c>
      <c r="B19" s="4" t="n"/>
      <c r="C19" s="4" t="n"/>
      <c r="D19" s="4" t="n"/>
      <c r="E19" s="4" t="n"/>
      <c r="F19" s="4" t="n"/>
      <c r="G19" s="4" t="n"/>
    </row>
    <row r="20" ht="20" customHeight="1">
      <c r="A20" s="9" t="inlineStr">
        <is>
          <t>Step 1 (45 mins)</t>
        </is>
      </c>
      <c r="B20" s="10" t="inlineStr">
        <is>
          <t>Concept Study &amp; Foundations</t>
        </is>
      </c>
      <c r="C20" s="6" t="inlineStr">
        <is>
          <t>Read official documentation, research papers, or mathematical foundations. Write notes in your own words.</t>
        </is>
      </c>
      <c r="D20" s="4" t="n"/>
      <c r="E20" s="4" t="n"/>
      <c r="F20" s="4" t="n"/>
      <c r="G20" s="4" t="n"/>
    </row>
    <row r="21" ht="20" customHeight="1">
      <c r="A21" s="9" t="inlineStr">
        <is>
          <t>Step 2 (60 mins)</t>
        </is>
      </c>
      <c r="B21" s="10" t="inlineStr">
        <is>
          <t>Hands-On Coding &amp; Exercises</t>
        </is>
      </c>
      <c r="C21" s="6" t="inlineStr">
        <is>
          <t>Implement algorithms from scratch (NumPy/PyTorch) or solve practical coding challenges without copying solutions.</t>
        </is>
      </c>
      <c r="D21" s="4" t="n"/>
      <c r="E21" s="4" t="n"/>
      <c r="F21" s="4" t="n"/>
      <c r="G21" s="4" t="n"/>
    </row>
    <row r="22" ht="20" customHeight="1">
      <c r="A22" s="9" t="inlineStr">
        <is>
          <t>Step 3 (60 mins)</t>
        </is>
      </c>
      <c r="B22" s="10" t="inlineStr">
        <is>
          <t>Practical Project Implementation</t>
        </is>
      </c>
      <c r="C22" s="6" t="inlineStr">
        <is>
          <t>Build components for your AI Sales Employee (RAG pipeline, tool calling, FastAPI endpoints, agent state machine).</t>
        </is>
      </c>
      <c r="D22" s="4" t="n"/>
      <c r="E22" s="4" t="n"/>
      <c r="F22" s="4" t="n"/>
      <c r="G22" s="4" t="n"/>
    </row>
    <row r="23" ht="20" customHeight="1">
      <c r="A23" s="9" t="inlineStr">
        <is>
          <t>Step 4 (15 mins)</t>
        </is>
      </c>
      <c r="B23" s="10" t="inlineStr">
        <is>
          <t>Review, Assessment &amp; Logging</t>
        </is>
      </c>
      <c r="C23" s="6" t="inlineStr">
        <is>
          <t>Log actual time, update tracker, record difficulties, evaluate recall without looking at notes, and schedule revisions.</t>
        </is>
      </c>
      <c r="D23" s="4" t="n"/>
      <c r="E23" s="4" t="n"/>
      <c r="F23" s="4" t="n"/>
      <c r="G23" s="4" t="n"/>
    </row>
    <row r="25" ht="24" customHeight="1">
      <c r="A25" s="7" t="inlineStr">
        <is>
          <t xml:space="preserve">  4. HOW TO USE THIS WORKBOOK (WORKSHEET NAVIGATION MAP)</t>
        </is>
      </c>
      <c r="B25" s="4" t="n"/>
      <c r="C25" s="4" t="n"/>
      <c r="D25" s="4" t="n"/>
      <c r="E25" s="4" t="n"/>
      <c r="F25" s="4" t="n"/>
      <c r="G25" s="4" t="n"/>
    </row>
    <row r="26" ht="20" customHeight="1">
      <c r="A26" s="9" t="inlineStr">
        <is>
          <t>1. Start Here</t>
        </is>
      </c>
      <c r="B26" s="6" t="inlineStr">
        <is>
          <t>Executive orientation, career objectives, commercial agent vision, study habits, and workbook instructions.</t>
        </is>
      </c>
      <c r="C26" s="4" t="n"/>
      <c r="D26" s="4" t="n"/>
      <c r="E26" s="4" t="n"/>
      <c r="F26" s="11" t="inlineStr">
        <is>
          <t>Read once &amp; reference monthly</t>
        </is>
      </c>
      <c r="G26" s="4" t="n"/>
    </row>
    <row r="27" ht="20" customHeight="1">
      <c r="A27" s="9" t="inlineStr">
        <is>
          <t>2. Master Roadmap</t>
        </is>
      </c>
      <c r="B27" s="6" t="inlineStr">
        <is>
          <t>The 12-month, 12-phase curriculum from Python/math to advanced autonomous AI sales agents.</t>
        </is>
      </c>
      <c r="C27" s="4" t="n"/>
      <c r="D27" s="4" t="n"/>
      <c r="E27" s="4" t="n"/>
      <c r="F27" s="11" t="inlineStr">
        <is>
          <t>Review weekly for pacing</t>
        </is>
      </c>
      <c r="G27" s="4" t="n"/>
    </row>
    <row r="28" ht="20" customHeight="1">
      <c r="A28" s="9" t="inlineStr">
        <is>
          <t>3. Detailed Learning Tracker</t>
        </is>
      </c>
      <c r="B28" s="6" t="inlineStr">
        <is>
          <t>Primary operational log for every study session: timestamps, planned vs actual hours, confidence, evidence.</t>
        </is>
      </c>
      <c r="C28" s="4" t="n"/>
      <c r="D28" s="4" t="n"/>
      <c r="E28" s="4" t="n"/>
      <c r="F28" s="11" t="inlineStr">
        <is>
          <t>Update daily after each session</t>
        </is>
      </c>
      <c r="G28" s="4" t="n"/>
    </row>
    <row r="29" ht="20" customHeight="1">
      <c r="A29" s="9" t="inlineStr">
        <is>
          <t>4. Official Learning Resources</t>
        </is>
      </c>
      <c r="B29" s="6" t="inlineStr">
        <is>
          <t>Curated official documentation and courses from Google, OpenAI, Meta, PyTorch, Hugging Face, etc.</t>
        </is>
      </c>
      <c r="C29" s="4" t="n"/>
      <c r="D29" s="4" t="n"/>
      <c r="E29" s="4" t="n"/>
      <c r="F29" s="11" t="inlineStr">
        <is>
          <t>Consult before starting topics</t>
        </is>
      </c>
      <c r="G29" s="4" t="n"/>
    </row>
    <row r="30" ht="20" customHeight="1">
      <c r="A30" s="9" t="inlineStr">
        <is>
          <t>5. Topic Completion Checklist</t>
        </is>
      </c>
      <c r="B30" s="6" t="inlineStr">
        <is>
          <t>Granular checklist of core skills across Python, ML, DL, LLMs, Agents, Production, and Business.</t>
        </is>
      </c>
      <c r="C30" s="4" t="n"/>
      <c r="D30" s="4" t="n"/>
      <c r="E30" s="4" t="n"/>
      <c r="F30" s="11" t="inlineStr">
        <is>
          <t>Update upon topic mastery</t>
        </is>
      </c>
      <c r="G30" s="4" t="n"/>
    </row>
    <row r="31" ht="20" customHeight="1">
      <c r="A31" s="9" t="inlineStr">
        <is>
          <t>6. Tutorial &amp; Course Tracker</t>
        </is>
      </c>
      <c r="B31" s="6" t="inlineStr">
        <is>
          <t>Monitor courses, research papers, and technical tutorials with practical exercise verification.</t>
        </is>
      </c>
      <c r="C31" s="4" t="n"/>
      <c r="D31" s="4" t="n"/>
      <c r="E31" s="4" t="n"/>
      <c r="F31" s="11" t="inlineStr">
        <is>
          <t>Update as courses progress</t>
        </is>
      </c>
      <c r="G31" s="4" t="n"/>
    </row>
    <row r="32" ht="20" customHeight="1">
      <c r="A32" s="9" t="inlineStr">
        <is>
          <t>7. AI Project Backlog</t>
        </is>
      </c>
      <c r="B32" s="6" t="inlineStr">
        <is>
          <t>The 10 foundational to enterprise-grade AI projects, culminating in the production AI sales employee.</t>
        </is>
      </c>
      <c r="C32" s="4" t="n"/>
      <c r="D32" s="4" t="n"/>
      <c r="E32" s="4" t="n"/>
      <c r="F32" s="11" t="inlineStr">
        <is>
          <t>Track sprint deliverables</t>
        </is>
      </c>
      <c r="G32" s="4" t="n"/>
    </row>
    <row r="33" ht="20" customHeight="1">
      <c r="A33" s="9" t="inlineStr">
        <is>
          <t>8. Daily Study Agenda</t>
        </is>
      </c>
      <c r="B33" s="6" t="inlineStr">
        <is>
          <t>Structured 30-day agenda breaking learning into specific, time-blocked daily deliverables.</t>
        </is>
      </c>
      <c r="C33" s="4" t="n"/>
      <c r="D33" s="4" t="n"/>
      <c r="E33" s="4" t="n"/>
      <c r="F33" s="11" t="inlineStr">
        <is>
          <t>Follow daily for discipline</t>
        </is>
      </c>
      <c r="G33" s="4" t="n"/>
    </row>
    <row r="34" ht="20" customHeight="1">
      <c r="A34" s="9" t="inlineStr">
        <is>
          <t>9. Weekly Review &amp; Analysis</t>
        </is>
      </c>
      <c r="B34" s="6" t="inlineStr">
        <is>
          <t>Weekly honest retrospectives: planned vs actual hours, blockers, inefficiencies, and schedule adjustments.</t>
        </is>
      </c>
      <c r="C34" s="4" t="n"/>
      <c r="D34" s="4" t="n"/>
      <c r="E34" s="4" t="n"/>
      <c r="F34" s="11" t="inlineStr">
        <is>
          <t>Complete every Sunday</t>
        </is>
      </c>
      <c r="G34" s="4" t="n"/>
    </row>
    <row r="35" ht="20" customHeight="1">
      <c r="A35" s="9" t="inlineStr">
        <is>
          <t>10. Progress Dashboard</t>
        </is>
      </c>
      <c r="B35" s="6" t="inlineStr">
        <is>
          <t>Automated analytics: KPI metric cards, completion percentages, hours by phase, and dynamic charts.</t>
        </is>
      </c>
      <c r="C35" s="4" t="n"/>
      <c r="D35" s="4" t="n"/>
      <c r="E35" s="4" t="n"/>
      <c r="F35" s="11" t="inlineStr">
        <is>
          <t>Review anytime for motivation</t>
        </is>
      </c>
      <c r="G35" s="4" t="n"/>
    </row>
    <row r="36" ht="20" customHeight="1">
      <c r="A36" s="9" t="inlineStr">
        <is>
          <t>11. Notes &amp; Document Library</t>
        </is>
      </c>
      <c r="B36" s="6" t="inlineStr">
        <is>
          <t>Repository of architecture decisions, code templates, system prompts, and research summaries.</t>
        </is>
      </c>
      <c r="C36" s="4" t="n"/>
      <c r="D36" s="4" t="n"/>
      <c r="E36" s="4" t="n"/>
      <c r="F36" s="11" t="inlineStr">
        <is>
          <t>Update with key technical learnings</t>
        </is>
      </c>
      <c r="G36" s="4" t="n"/>
    </row>
    <row r="37" ht="20" customHeight="1">
      <c r="A37" s="9" t="inlineStr">
        <is>
          <t>12. AI Experiment Log</t>
        </is>
      </c>
      <c r="B37" s="6" t="inlineStr">
        <is>
          <t>Scientific log for prompts, hyperparameters, latency benchmarks, tool accuracy, and failure cases.</t>
        </is>
      </c>
      <c r="C37" s="4" t="n"/>
      <c r="D37" s="4" t="n"/>
      <c r="E37" s="4" t="n"/>
      <c r="F37" s="11" t="inlineStr">
        <is>
          <t>Log every agent/model test</t>
        </is>
      </c>
      <c r="G37" s="4" t="n"/>
    </row>
    <row r="38" ht="20" customHeight="1">
      <c r="A38" s="9" t="inlineStr">
        <is>
          <t>13. Commercial Product Validation</t>
        </is>
      </c>
      <c r="B38" s="6" t="inlineStr">
        <is>
          <t>Customer problem validation, interview notes, willingness to pay, unit economics, and pilot metrics.</t>
        </is>
      </c>
      <c r="C38" s="4" t="n"/>
      <c r="D38" s="4" t="n"/>
      <c r="E38" s="4" t="n"/>
      <c r="F38" s="11" t="inlineStr">
        <is>
          <t>Update during business validation</t>
        </is>
      </c>
      <c r="G38" s="4" t="n"/>
    </row>
    <row r="40" ht="24" customHeight="1">
      <c r="A40" s="3" t="inlineStr">
        <is>
          <t xml:space="preserve">  5. RIGOROUS COMPLETION &amp; MASTERY VERIFICATION RULES</t>
        </is>
      </c>
      <c r="B40" s="4" t="n"/>
      <c r="C40" s="4" t="n"/>
      <c r="D40" s="4" t="n"/>
      <c r="E40" s="4" t="n"/>
      <c r="F40" s="4" t="n"/>
      <c r="G40" s="4" t="n"/>
    </row>
    <row r="41" ht="20" customHeight="1">
      <c r="A41" s="9" t="inlineStr">
        <is>
          <t>Rule 1: Evidence Over Emotion</t>
        </is>
      </c>
      <c r="B41" s="6" t="inlineStr">
        <is>
          <t>Spending 50 hours studying or feeling confident does NOT equal mastery. Only mark 'Completed' or 'Mastered' when backed by independent code or working projects.</t>
        </is>
      </c>
      <c r="C41" s="4" t="n"/>
      <c r="D41" s="4" t="n"/>
      <c r="E41" s="4" t="n"/>
      <c r="F41" s="4" t="n"/>
      <c r="G41" s="4" t="n"/>
    </row>
    <row r="42" ht="20" customHeight="1">
      <c r="A42" s="9" t="inlineStr">
        <is>
          <t>Rule 2: Unaided Recall Test</t>
        </is>
      </c>
      <c r="B42" s="6" t="inlineStr">
        <is>
          <t>Before completing a topic, explain the core concepts in plain English without looking at any notes, tutorials, or AI chat assistants.</t>
        </is>
      </c>
      <c r="C42" s="4" t="n"/>
      <c r="D42" s="4" t="n"/>
      <c r="E42" s="4" t="n"/>
      <c r="F42" s="4" t="n"/>
      <c r="G42" s="4" t="n"/>
    </row>
    <row r="43" ht="20" customHeight="1">
      <c r="A43" s="9" t="inlineStr">
        <is>
          <t>Rule 3: Scratch Implementation</t>
        </is>
      </c>
      <c r="B43" s="6" t="inlineStr">
        <is>
          <t>Write a clean implementation from scratch. If studying Linear Regression, code the gradient descent loop. If studying Agents, write the ReAct loop without a library.</t>
        </is>
      </c>
      <c r="C43" s="4" t="n"/>
      <c r="D43" s="4" t="n"/>
      <c r="E43" s="4" t="n"/>
      <c r="F43" s="4" t="n"/>
      <c r="G43" s="4" t="n"/>
    </row>
    <row r="44" ht="20" customHeight="1">
      <c r="A44" s="9" t="inlineStr">
        <is>
          <t>Rule 4: Delayed Retention Verification</t>
        </is>
      </c>
      <c r="B44" s="6" t="inlineStr">
        <is>
          <t>Re-test yourself after 7 and 14 days. If you cannot explain or implement the concept after a week, downgrade the topic status to 'Needs Revision'.</t>
        </is>
      </c>
      <c r="C44" s="4" t="n"/>
      <c r="D44" s="4" t="n"/>
      <c r="E44" s="4" t="n"/>
      <c r="F44" s="4" t="n"/>
      <c r="G44" s="4" t="n"/>
    </row>
    <row r="45" ht="20" customHeight="1">
      <c r="A45" s="9" t="inlineStr">
        <is>
          <t>Rule 5: No Passive Tutorial Hell</t>
        </is>
      </c>
      <c r="B45" s="6" t="inlineStr">
        <is>
          <t>Never watch a video or read a tutorial passively without producing working code, test cases, or an architectural diagram committed to GitHub.</t>
        </is>
      </c>
      <c r="C45" s="4" t="n"/>
      <c r="D45" s="4" t="n"/>
      <c r="E45" s="4" t="n"/>
      <c r="F45" s="4" t="n"/>
      <c r="G45" s="4" t="n"/>
    </row>
  </sheetData>
  <mergeCells count="57">
    <mergeCell ref="B16:C16"/>
    <mergeCell ref="B42:G42"/>
    <mergeCell ref="E13:G13"/>
    <mergeCell ref="F29:G29"/>
    <mergeCell ref="B37:E37"/>
    <mergeCell ref="B30:E30"/>
    <mergeCell ref="A4:G4"/>
    <mergeCell ref="B8:G8"/>
    <mergeCell ref="F34:G34"/>
    <mergeCell ref="B33:E33"/>
    <mergeCell ref="B44:G44"/>
    <mergeCell ref="E15:G15"/>
    <mergeCell ref="A19:G19"/>
    <mergeCell ref="B36:E36"/>
    <mergeCell ref="B12:C12"/>
    <mergeCell ref="B32:E32"/>
    <mergeCell ref="B26:E26"/>
    <mergeCell ref="C20:G20"/>
    <mergeCell ref="F30:G30"/>
    <mergeCell ref="B35:E35"/>
    <mergeCell ref="A40:G40"/>
    <mergeCell ref="B9:G9"/>
    <mergeCell ref="F33:G33"/>
    <mergeCell ref="B14:C14"/>
    <mergeCell ref="F36:G36"/>
    <mergeCell ref="F32:G32"/>
    <mergeCell ref="B17:C17"/>
    <mergeCell ref="C22:G22"/>
    <mergeCell ref="F26:G26"/>
    <mergeCell ref="A11:G11"/>
    <mergeCell ref="F35:G35"/>
    <mergeCell ref="E16:G16"/>
    <mergeCell ref="B13:C13"/>
    <mergeCell ref="B6:G6"/>
    <mergeCell ref="B31:E31"/>
    <mergeCell ref="C21:G21"/>
    <mergeCell ref="B27:E27"/>
    <mergeCell ref="B5:G5"/>
    <mergeCell ref="F38:G38"/>
    <mergeCell ref="B45:G45"/>
    <mergeCell ref="B41:G41"/>
    <mergeCell ref="F31:G31"/>
    <mergeCell ref="E12:G12"/>
    <mergeCell ref="F28:G28"/>
    <mergeCell ref="C23:G23"/>
    <mergeCell ref="A25:G25"/>
    <mergeCell ref="F27:G27"/>
    <mergeCell ref="B7:G7"/>
    <mergeCell ref="F37:G37"/>
    <mergeCell ref="B15:C15"/>
    <mergeCell ref="E14:G14"/>
    <mergeCell ref="B38:E38"/>
    <mergeCell ref="B29:E29"/>
    <mergeCell ref="E17:G17"/>
    <mergeCell ref="B43:G4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30" customWidth="1" min="4" max="4"/>
    <col width="20" customWidth="1" min="5" max="5"/>
    <col width="12" customWidth="1" min="6" max="6"/>
    <col width="12" customWidth="1" min="7" max="7"/>
    <col width="12" customWidth="1" min="8" max="8"/>
    <col width="10" customWidth="1" min="9" max="9"/>
    <col width="28" customWidth="1" min="10" max="10"/>
    <col width="28" customWidth="1" min="11" max="11"/>
    <col width="28" customWidth="1" min="12" max="12"/>
    <col width="25" customWidth="1" min="13" max="13"/>
    <col width="14" customWidth="1" min="14" max="14"/>
    <col width="13" customWidth="1" min="15" max="15"/>
    <col width="20" customWidth="1" min="16" max="16"/>
  </cols>
  <sheetData>
    <row r="1" ht="24" customHeight="1">
      <c r="A1" s="12" t="inlineStr">
        <is>
          <t>12-MONTH AI &amp; AI AGENT ENGINEERING MASTER ROADMAP</t>
        </is>
      </c>
    </row>
    <row r="2" ht="18" customHeight="1">
      <c r="A2" s="2" t="inlineStr">
        <is>
          <t>Structured 12-Phase Pathway from Foundational Mathematics &amp; Python to Commercial Autonomous AI Employees</t>
        </is>
      </c>
    </row>
    <row r="4" ht="28" customHeight="1">
      <c r="A4" s="13" t="inlineStr">
        <is>
          <t>Phase #</t>
        </is>
      </c>
      <c r="B4" s="13" t="inlineStr">
        <is>
          <t>Phase Name</t>
        </is>
      </c>
      <c r="C4" s="13" t="inlineStr">
        <is>
          <t>Learning Objectives</t>
        </is>
      </c>
      <c r="D4" s="13" t="inlineStr">
        <is>
          <t>Individual Topics</t>
        </is>
      </c>
      <c r="E4" s="13" t="inlineStr">
        <is>
          <t>Required Prerequisites</t>
        </is>
      </c>
      <c r="F4" s="13" t="inlineStr">
        <is>
          <t>Target Start Date</t>
        </is>
      </c>
      <c r="G4" s="13" t="inlineStr">
        <is>
          <t>Target Completion Date</t>
        </is>
      </c>
      <c r="H4" s="13" t="inlineStr">
        <is>
          <t>Estimated Study Hours</t>
        </is>
      </c>
      <c r="I4" s="13" t="inlineStr">
        <is>
          <t>Actual Hours</t>
        </is>
      </c>
      <c r="J4" s="13" t="inlineStr">
        <is>
          <t>Practical Exercises</t>
        </is>
      </c>
      <c r="K4" s="13" t="inlineStr">
        <is>
          <t>Expected Deliverables</t>
        </is>
      </c>
      <c r="L4" s="13" t="inlineStr">
        <is>
          <t>Success Criteria</t>
        </is>
      </c>
      <c r="M4" s="13" t="inlineStr">
        <is>
          <t>Recommended Resources</t>
        </is>
      </c>
      <c r="N4" s="13" t="inlineStr">
        <is>
          <t>Current Status</t>
        </is>
      </c>
      <c r="O4" s="13" t="inlineStr">
        <is>
          <t>Actual Completion Date</t>
        </is>
      </c>
      <c r="P4" s="13" t="inlineStr">
        <is>
          <t>Notes and Blockers</t>
        </is>
      </c>
    </row>
    <row r="5" ht="55" customHeight="1">
      <c r="A5" s="14" t="n">
        <v>1</v>
      </c>
      <c r="B5" s="15" t="inlineStr">
        <is>
          <t>Python &amp; Mathematics Foundations</t>
        </is>
      </c>
      <c r="C5" s="16" t="inlineStr">
        <is>
          <t>Establish rock-solid programming discipline and mathematical intuitions for machine learning algorithms.</t>
        </is>
      </c>
      <c r="D5" s="16" t="inlineStr">
        <is>
          <t>Python data structures, OOP, Exceptions, Typing, JSON/APIs, File I/O, Git/GitHub, Linux CLI, Linear Algebra (Vectors, Matrices, Dot Products), Probability &amp; Statistics, Derivatives &amp; Gradient Descent.</t>
        </is>
      </c>
      <c r="E5" s="16" t="inlineStr">
        <is>
          <t>Basic computer literacy, terminal comfort</t>
        </is>
      </c>
      <c r="F5" s="17" t="inlineStr">
        <is>
          <t>2026-11-01</t>
        </is>
      </c>
      <c r="G5" s="17" t="inlineStr">
        <is>
          <t>2026-11-30</t>
        </is>
      </c>
      <c r="H5" s="18" t="n">
        <v>60</v>
      </c>
      <c r="I5" s="18" t="n">
        <v>0</v>
      </c>
      <c r="J5" s="16" t="inlineStr">
        <is>
          <t>1. Implement matrix multiplication from scratch without NumPy.
2. Write gradient descent optimization for 2D function.
3. Build CLI tool with API fetching and JSON caching.</t>
        </is>
      </c>
      <c r="K5" s="16" t="inlineStr">
        <is>
          <t>GitHub repo with clean Python utilities, math scratch notebooks, unit tests with pytest.</t>
        </is>
      </c>
      <c r="L5" s="16" t="inlineStr">
        <is>
          <t>Pass self-assessment test: explain eigenvalues, dot products, and write OOP Python classes with type hints and tests without reference.</t>
        </is>
      </c>
      <c r="M5" s="16" t="inlineStr">
        <is>
          <t>Python Docs, 3Blue1Brown Essense of Linear Algebra, Khan Academy Statistics</t>
        </is>
      </c>
      <c r="N5" s="14" t="inlineStr">
        <is>
          <t>Not Started</t>
        </is>
      </c>
      <c r="O5" s="17" t="inlineStr"/>
      <c r="P5" s="16" t="inlineStr"/>
    </row>
    <row r="6" ht="55" customHeight="1">
      <c r="A6" s="19" t="n">
        <v>2</v>
      </c>
      <c r="B6" s="20" t="inlineStr">
        <is>
          <t>Data Analysis &amp; Traditional Machine Learning</t>
        </is>
      </c>
      <c r="C6" s="21" t="inlineStr">
        <is>
          <t>Master data preprocessing, feature engineering, and classical machine learning algorithms with scikit-learn.</t>
        </is>
      </c>
      <c r="D6" s="21" t="inlineStr">
        <is>
          <t>NumPy array operations, Pandas DataFrames, Data Cleaning, Exploratory Data Analysis (EDA), Matplotlib/Seaborn, Supervised Learning (Linear/Logistic Regression, Decision Trees, Random Forests, XGBoost), Unsupervised Learning (K-Means, PCA), Overfitting, Cross-validation, Precision/Recall/F1, Data Leakage.</t>
        </is>
      </c>
      <c r="E6" s="21" t="inlineStr">
        <is>
          <t>Phase 1: Python, Linear Algebra, Statistics</t>
        </is>
      </c>
      <c r="F6" s="22" t="inlineStr">
        <is>
          <t>2026-12-01</t>
        </is>
      </c>
      <c r="G6" s="22" t="inlineStr">
        <is>
          <t>2026-12-31</t>
        </is>
      </c>
      <c r="H6" s="23" t="n">
        <v>75</v>
      </c>
      <c r="I6" s="23" t="n">
        <v>0</v>
      </c>
      <c r="J6" s="21" t="inlineStr">
        <is>
          <t>1. Customer churn prediction with XGBoost.
2. B2B Sales transaction exploratory data analysis.
3. Implement Logistic Regression from scratch.</t>
        </is>
      </c>
      <c r="K6" s="21" t="inlineStr">
        <is>
          <t>Project 1: Sales Data Analysis &amp; Project 2: Customer Purchase Prediction Model with full EDA notebook and metrics report.</t>
        </is>
      </c>
      <c r="L6" s="21" t="inlineStr">
        <is>
          <t>Achieve F1 &gt; 0.82 on test split; demonstrate understanding of bias-variance tradeoff and confusion matrix.</t>
        </is>
      </c>
      <c r="M6" s="21" t="inlineStr">
        <is>
          <t>Google ML Crash Course, scikit-learn User Guide, Pandas official docs</t>
        </is>
      </c>
      <c r="N6" s="19" t="inlineStr">
        <is>
          <t>Not Started</t>
        </is>
      </c>
      <c r="O6" s="22" t="inlineStr"/>
      <c r="P6" s="21" t="inlineStr"/>
    </row>
    <row r="7" ht="55" customHeight="1">
      <c r="A7" s="14" t="n">
        <v>3</v>
      </c>
      <c r="B7" s="15" t="inlineStr">
        <is>
          <t>Deep Learning &amp; Neural Networks</t>
        </is>
      </c>
      <c r="C7" s="16" t="inlineStr">
        <is>
          <t>Build intuition for neural network architectures, backpropagation, and tensor computing with PyTorch.</t>
        </is>
      </c>
      <c r="D7" s="16" t="inlineStr">
        <is>
          <t>Tensors, Autograd, Multi-Layer Perceptrons (MLP), Activation Functions (ReLU, GELU, Softmax), Loss Functions (MSE, Cross-Entropy), Optimizers (SGD, AdamW), PyTorch Dataset/DataLoader, Regularization (Dropout, Weight Decay), Convolutional &amp; Sequence Networks, Embeddings.</t>
        </is>
      </c>
      <c r="E7" s="16" t="inlineStr">
        <is>
          <t>Phase 2: NumPy, Calculus, ML concepts</t>
        </is>
      </c>
      <c r="F7" s="17" t="inlineStr">
        <is>
          <t>2027-01-01</t>
        </is>
      </c>
      <c r="G7" s="17" t="inlineStr">
        <is>
          <t>2027-01-31</t>
        </is>
      </c>
      <c r="H7" s="18" t="n">
        <v>80</v>
      </c>
      <c r="I7" s="18" t="n">
        <v>0</v>
      </c>
      <c r="J7" s="16" t="inlineStr">
        <is>
          <t>1. Build micrograd / mini autograd engine in Python.
2. Train PyTorch neural network for customer intent classification.
3. Implement custom PyTorch Dataset for tabular/text data.</t>
        </is>
      </c>
      <c r="K7" s="16" t="inlineStr">
        <is>
          <t>Project 3: Customer Message Intent Classification model trained and evaluated in PyTorch.</t>
        </is>
      </c>
      <c r="L7" s="16" t="inlineStr">
        <is>
          <t>Explain backpropagation forward/backward pass mathematics on whiteboard; train stable PyTorch model without overfitting.</t>
        </is>
      </c>
      <c r="M7" s="16" t="inlineStr">
        <is>
          <t>PyTorch Official Tutorials, fast.ai Practical Deep Learning, Andrej Karpathy nn-zero-to-hero</t>
        </is>
      </c>
      <c r="N7" s="14" t="inlineStr">
        <is>
          <t>Not Started</t>
        </is>
      </c>
      <c r="O7" s="17" t="inlineStr"/>
      <c r="P7" s="16" t="inlineStr"/>
    </row>
    <row r="8" ht="55" customHeight="1">
      <c r="A8" s="19" t="n">
        <v>4</v>
      </c>
      <c r="B8" s="20" t="inlineStr">
        <is>
          <t>LLM Fundamentals &amp; Transformer Architecture</t>
        </is>
      </c>
      <c r="C8" s="21" t="inlineStr">
        <is>
          <t>Understand how Large Language Models work internally from tokenization to attention mechanisms.</t>
        </is>
      </c>
      <c r="D8" s="21" t="inlineStr">
        <is>
          <t>Tokenization (BPE, WordPiece, tiktoken), Transformer Architecture (Encoder, Decoder, Encoder-Decoder), Scaled Dot-Product Attention, Multi-Head Attention, Positional Encodings, Pretraining Objectives, Causal Masking, Context Windows, KV Caching, Quantization (GGUF, AWQ, bitsandbytes).</t>
        </is>
      </c>
      <c r="E8" s="21" t="inlineStr">
        <is>
          <t>Phase 3: PyTorch, Neural networks, Embeddings</t>
        </is>
      </c>
      <c r="F8" s="22" t="inlineStr">
        <is>
          <t>2027-02-01</t>
        </is>
      </c>
      <c r="G8" s="22" t="inlineStr">
        <is>
          <t>2027-02-28</t>
        </is>
      </c>
      <c r="H8" s="23" t="n">
        <v>70</v>
      </c>
      <c r="I8" s="23" t="n">
        <v>0</v>
      </c>
      <c r="J8" s="21" t="inlineStr">
        <is>
          <t>1. Build self-attention and multi-head attention module in PyTorch.
2. Tokenize text using tiktoken and examine token distributions.
3. Run local quantized Llama-3 model using llama.cpp / Ollama.</t>
        </is>
      </c>
      <c r="K8" s="21" t="inlineStr">
        <is>
          <t>Clean PyTorch notebook with annotated Transformer attention layer and local inference benchmark script.</t>
        </is>
      </c>
      <c r="L8" s="21" t="inlineStr">
        <is>
          <t>Explain scaled dot-product attention equation QK^T / sqrt(d_k) and KV caching latency trade-offs without consulting notes.</t>
        </is>
      </c>
      <c r="M8" s="21" t="inlineStr">
        <is>
          <t>Attention Is All You Need paper, Hugging Face NLP Course, Jay Alammar The Illustrated Transformer</t>
        </is>
      </c>
      <c r="N8" s="19" t="inlineStr">
        <is>
          <t>Not Started</t>
        </is>
      </c>
      <c r="O8" s="22" t="inlineStr"/>
      <c r="P8" s="21" t="inlineStr"/>
    </row>
    <row r="9" ht="55" customHeight="1">
      <c r="A9" s="14" t="n">
        <v>5</v>
      </c>
      <c r="B9" s="15" t="inlineStr">
        <is>
          <t>Prompt Engineering &amp; LLM App Development</t>
        </is>
      </c>
      <c r="C9" s="16" t="inlineStr">
        <is>
          <t>Master programmatic interactions with state-of-the-art LLMs using official APIs, structured outputs, and evaluation.</t>
        </is>
      </c>
      <c r="D9" s="16" t="inlineStr">
        <is>
          <t>System Prompts, In-Context Learning, Few-shot prompting, Chain-of-Thought (CoT), Structured Outputs (JSON Schema / Pydantic validation), OpenAI &amp; Gemini APIs, Error handling &amp; retries, Token management &amp; Cost optimization, Prompt injection defenses.</t>
        </is>
      </c>
      <c r="E9" s="16" t="inlineStr">
        <is>
          <t>Phase 1 (Python APIs) &amp; Phase 4 (LLM basics)</t>
        </is>
      </c>
      <c r="F9" s="17" t="inlineStr">
        <is>
          <t>2027-03-01</t>
        </is>
      </c>
      <c r="G9" s="17" t="inlineStr">
        <is>
          <t>2027-03-25</t>
        </is>
      </c>
      <c r="H9" s="18" t="n">
        <v>55</v>
      </c>
      <c r="I9" s="18" t="n">
        <v>0</v>
      </c>
      <c r="J9" s="16" t="inlineStr">
        <is>
          <t>1. Build B2B lead enrichment pipeline extracting structured JSON from raw company websites.
2. Implement robust retry with exponential backoff for rate limits.
3. Benchmark prompt variants across 50 test leads.</t>
        </is>
      </c>
      <c r="K9" s="16" t="inlineStr">
        <is>
          <t>Structured extraction library with Pydantic models, JSON schema validation, and token cost counter.</t>
        </is>
      </c>
      <c r="L9" s="16" t="inlineStr">
        <is>
          <t>100% valid JSON output compliance over 100 test cases using native structured output modes.</t>
        </is>
      </c>
      <c r="M9" s="16" t="inlineStr">
        <is>
          <t>OpenAI Structured Outputs Guide, Gemini API Cookbook, Anthropic Prompt Engineering Interactive Tutorial</t>
        </is>
      </c>
      <c r="N9" s="14" t="inlineStr">
        <is>
          <t>Not Started</t>
        </is>
      </c>
      <c r="O9" s="17" t="inlineStr"/>
      <c r="P9" s="16" t="inlineStr"/>
    </row>
    <row r="10" ht="55" customHeight="1">
      <c r="A10" s="19" t="n">
        <v>6</v>
      </c>
      <c r="B10" s="20" t="inlineStr">
        <is>
          <t>Embeddings, Vector Databases &amp; RAG</t>
        </is>
      </c>
      <c r="C10" s="21" t="inlineStr">
        <is>
          <t>Construct enterprise-grade Retrieval-Augmented Generation pipelines grounded in private product documentation.</t>
        </is>
      </c>
      <c r="D10" s="21" t="inlineStr">
        <is>
          <t>Embedding models (text-embedding-3, BGE, Voyage), Chunking strategies (fixed, semantic, recursive, markdown), Vector similarity (Cosine, Dot Product), Vector databases (ChromaDB, pgvector), Hybrid Search (Dense + Sparse BM25), Reranking (Cohere, Cross-Encoder), Grounding &amp; Citations, RAG Evaluation (RAGAS / TruLens).</t>
        </is>
      </c>
      <c r="E10" s="21" t="inlineStr">
        <is>
          <t>Phase 5: LLM APIs, Python</t>
        </is>
      </c>
      <c r="F10" s="22" t="inlineStr">
        <is>
          <t>2027-03-26</t>
        </is>
      </c>
      <c r="G10" s="22" t="inlineStr">
        <is>
          <t>2027-04-30</t>
        </is>
      </c>
      <c r="H10" s="23" t="n">
        <v>70</v>
      </c>
      <c r="I10" s="23" t="n">
        <v>0</v>
      </c>
      <c r="J10" s="21" t="inlineStr">
        <is>
          <t>1. Build document ingestion pipeline with semantic chunking.
2. Set up PostgreSQL with pgvector for persistent vector search.
3. Implement hybrid search with cross-encoder reranking.</t>
        </is>
      </c>
      <c r="K10" s="21" t="inlineStr">
        <is>
          <t>Project 4: Enterprise Product Knowledge Assistant using RAG with citation grounding and evaluation notebook.</t>
        </is>
      </c>
      <c r="L10" s="21" t="inlineStr">
        <is>
          <t>Zero hallucination on factual product specifications; retrieval precision &gt; 88% on domain test benchmark.</t>
        </is>
      </c>
      <c r="M10" s="21" t="inlineStr">
        <is>
          <t>LangChain / LlamaIndex docs, Pinecone Learning Center, pgvector documentation</t>
        </is>
      </c>
      <c r="N10" s="19" t="inlineStr">
        <is>
          <t>Not Started</t>
        </is>
      </c>
      <c r="O10" s="22" t="inlineStr"/>
      <c r="P10" s="21" t="inlineStr"/>
    </row>
    <row r="11" ht="55" customHeight="1">
      <c r="A11" s="14" t="n">
        <v>7</v>
      </c>
      <c r="B11" s="15" t="inlineStr">
        <is>
          <t>AI Agent Fundamentals &amp; Tool Calling</t>
        </is>
      </c>
      <c r="C11" s="16" t="inlineStr">
        <is>
          <t>Learn core agentic patterns: reasoning loops, tool calling schemas, environment execution, and state persistence.</t>
        </is>
      </c>
      <c r="D11" s="16" t="inlineStr">
        <is>
          <t>Agent Architectures (ReAct, Plan-and-Solve, Reflection), Function Calling / Tool Calling schemas, Tool argument validation with Pydantic, Memory design (short-term buffer, long-term vector/SQL), Execution sandboxing, State persistence, Error recovery &amp; tool retries.</t>
        </is>
      </c>
      <c r="E11" s="16" t="inlineStr">
        <is>
          <t>Phase 5 &amp; 6: Structured Outputs, LLM APIs, Vector Stores</t>
        </is>
      </c>
      <c r="F11" s="17" t="inlineStr">
        <is>
          <t>2027-05-01</t>
        </is>
      </c>
      <c r="G11" s="17" t="inlineStr">
        <is>
          <t>2027-05-31</t>
        </is>
      </c>
      <c r="H11" s="18" t="n">
        <v>75</v>
      </c>
      <c r="I11" s="18" t="n">
        <v>0</v>
      </c>
      <c r="J11" s="16" t="inlineStr">
        <is>
          <t>1. Build ReAct agent loop from scratch in pure Python.
2. Equip agent with tools: web search, calculator, SQL query, CRM contact lookup.
3. Implement persistent SQLite session state.</t>
        </is>
      </c>
      <c r="K11" s="16" t="inlineStr">
        <is>
          <t>Project 5: Tool-Using Autonomous Research Agent capable of multi-step company research.</t>
        </is>
      </c>
      <c r="L11" s="16" t="inlineStr">
        <is>
          <t>Agent successfully completes 3-step tool chains with proper parameter passing and zero execution crashes.</t>
        </is>
      </c>
      <c r="M11" s="16" t="inlineStr">
        <is>
          <t>OpenAI Function Calling Guide, Anthropic Building Effective Agents, LangGraph official tutorials</t>
        </is>
      </c>
      <c r="N11" s="14" t="inlineStr">
        <is>
          <t>Not Started</t>
        </is>
      </c>
      <c r="O11" s="17" t="inlineStr"/>
      <c r="P11" s="16" t="inlineStr"/>
    </row>
    <row r="12" ht="55" customHeight="1">
      <c r="A12" s="19" t="n">
        <v>8</v>
      </c>
      <c r="B12" s="20" t="inlineStr">
        <is>
          <t>Agent Orchestration &amp; Multi-Agent Systems</t>
        </is>
      </c>
      <c r="C12" s="21" t="inlineStr">
        <is>
          <t>Orchestrate complex workflows, human-in-the-loop approvals, and specialized multi-agent collaboration.</t>
        </is>
      </c>
      <c r="D12" s="21" t="inlineStr">
        <is>
          <t>State Graphs with LangGraph, Multi-Agent patterns (Supervisor, Hierarchical, Peer-to-Peer), CrewAI framework, Conditional routing, Dynamic replanning, Human-in-the-loop (HITL) checkpoints &amp; approval gates, Guardrails (NeMo Guardrails, Llama Guard), Context distillation.</t>
        </is>
      </c>
      <c r="E12" s="21" t="inlineStr">
        <is>
          <t>Phase 7: Tool Calling &amp; Agent Fundamentals</t>
        </is>
      </c>
      <c r="F12" s="22" t="inlineStr">
        <is>
          <t>2027-06-01</t>
        </is>
      </c>
      <c r="G12" s="22" t="inlineStr">
        <is>
          <t>2027-06-30</t>
        </is>
      </c>
      <c r="H12" s="23" t="n">
        <v>75</v>
      </c>
      <c r="I12" s="23" t="n">
        <v>0</v>
      </c>
      <c r="J12" s="21" t="inlineStr">
        <is>
          <t>1. Build a LangGraph workflow with human-approval checkpoint before sending email.
2. Create 3-agent team: Lead Researcher, Email Drafter, Quality Reviewer.
3. Implement fallback routing when primary tool fails.</t>
        </is>
      </c>
      <c r="K12" s="21" t="inlineStr">
        <is>
          <t>Project 6: Lead Qualification &amp; Scoring Agent + Project 9: Collaborative Multi-Agent Sales Workflow.</t>
        </is>
      </c>
      <c r="L12" s="21" t="inlineStr">
        <is>
          <t>Multi-agent workflow handles unexpected tool failure gracefully and pauses execution for human approval on high-value actions.</t>
        </is>
      </c>
      <c r="M12" s="21" t="inlineStr">
        <is>
          <t>LangGraph Documentation, CrewAI Masterclass, Llama Guard docs</t>
        </is>
      </c>
      <c r="N12" s="19" t="inlineStr">
        <is>
          <t>Not Started</t>
        </is>
      </c>
      <c r="O12" s="22" t="inlineStr"/>
      <c r="P12" s="21" t="inlineStr"/>
    </row>
    <row r="13" ht="55" customHeight="1">
      <c r="A13" s="14" t="n">
        <v>9</v>
      </c>
      <c r="B13" s="15" t="inlineStr">
        <is>
          <t>AI Sales Agent Development (Autonomous Sales Employee)</t>
        </is>
      </c>
      <c r="C13" s="16" t="inlineStr">
        <is>
          <t>Synthesize all agentic capabilities into a dedicated, commercial-grade AI Sales Employee.</t>
        </is>
      </c>
      <c r="D13" s="16" t="inlineStr">
        <is>
          <t>12 Core Capabilities: Prospecting, BANT Lead Scoring, Consultative Needs Discovery, Multi-channel Communication (Email/Chat/WhatsApp), Knowledge RAG, Price Negotiation within business guardrails, Automated Follow-up sequences, PDF Quotation generation, CRM synchronization (HubSpot/Postgres), Analytics logging, Human escalation triggers.</t>
        </is>
      </c>
      <c r="E13" s="16" t="inlineStr">
        <is>
          <t>Phases 6, 7, 8: RAG, Tool Calling, Orchestration</t>
        </is>
      </c>
      <c r="F13" s="17" t="inlineStr">
        <is>
          <t>2027-07-01</t>
        </is>
      </c>
      <c r="G13" s="17" t="inlineStr">
        <is>
          <t>2027-08-15</t>
        </is>
      </c>
      <c r="H13" s="18" t="n">
        <v>95</v>
      </c>
      <c r="I13" s="18" t="n">
        <v>0</v>
      </c>
      <c r="J13" s="16" t="inlineStr">
        <is>
          <t>1. Build BANT scoring engine that scores leads from conversation transcripts.
2. Implement price negotiation agent with strict discount ceilings.
3. Connect agent to WhatsApp Business sandbox and SendGrid email API.</t>
        </is>
      </c>
      <c r="K13" s="16" t="inlineStr">
        <is>
          <t>Project 7: AI Sales Employee with Follow-ups &amp; Project 8: AI Negotiation and Quotation Assistant.</t>
        </is>
      </c>
      <c r="L13" s="16" t="inlineStr">
        <is>
          <t>End-to-end simulated customer engagement: agent researches lead, answers questions from RAG, qualifies budget, negotiates price within policy, and outputs signed quote.</t>
        </is>
      </c>
      <c r="M13" s="16" t="inlineStr">
        <is>
          <t>HubSpot API Docs, Meta WhatsApp Cloud API Docs, ReportLab PDF documentation</t>
        </is>
      </c>
      <c r="N13" s="14" t="inlineStr">
        <is>
          <t>Not Started</t>
        </is>
      </c>
      <c r="O13" s="17" t="inlineStr"/>
      <c r="P13" s="16" t="inlineStr"/>
    </row>
    <row r="14" ht="55" customHeight="1">
      <c r="A14" s="19" t="n">
        <v>10</v>
      </c>
      <c r="B14" s="20" t="inlineStr">
        <is>
          <t>Model Fine-Tuning &amp; Customization</t>
        </is>
      </c>
      <c r="C14" s="21" t="inlineStr">
        <is>
          <t>Master when and how to fine-tune open-weight and proprietary models for domain-specific sales style and cost reduction.</t>
        </is>
      </c>
      <c r="D14" s="21" t="inlineStr">
        <is>
          <t>When to Prompt vs RAG vs Fine-tune, Dataset preparation &amp; formatting (ShareGPT, Alpaca, JSONL), Parameter-Efficient Fine-Tuning (PEFT, LoRA, QLoRA), SFT (Supervised Fine-Tuning) with TRL / Unsloth, Evaluation with benchmark test suites, Model merging and GGUF export.</t>
        </is>
      </c>
      <c r="E14" s="21" t="inlineStr">
        <is>
          <t>Phase 4 &amp; Phase 3: PyTorch, Transformer basics, Quantization</t>
        </is>
      </c>
      <c r="F14" s="22" t="inlineStr">
        <is>
          <t>2027-08-16</t>
        </is>
      </c>
      <c r="G14" s="22" t="inlineStr">
        <is>
          <t>2027-09-15</t>
        </is>
      </c>
      <c r="H14" s="23" t="n">
        <v>60</v>
      </c>
      <c r="I14" s="23" t="n">
        <v>0</v>
      </c>
      <c r="J14" s="21" t="inlineStr">
        <is>
          <t>1. Format 500 sales objection-handling pairs into JSONL.
2. Fine-tune Llama-3-8B with QLoRA using Unsloth on Google Colab / Lambda Labs.
3. Compare fine-tuned model vs prompt-engineered base model on benchmark set.</t>
        </is>
      </c>
      <c r="K14" s="21" t="inlineStr">
        <is>
          <t>Fine-tuned specialized sales objection-handling adapter, training loss curves, and evaluation comparison report.</t>
        </is>
      </c>
      <c r="L14" s="21" t="inlineStr">
        <is>
          <t>Fine-tuned model achieves &gt; 92% adherence to company sales methodology with 3x lower inference cost than frontier APIs.</t>
        </is>
      </c>
      <c r="M14" s="21" t="inlineStr">
        <is>
          <t>Hugging Face PEFT &amp; TRL docs, Unsloth documentation, Axolotl GitHub</t>
        </is>
      </c>
      <c r="N14" s="19" t="inlineStr">
        <is>
          <t>Not Started</t>
        </is>
      </c>
      <c r="O14" s="22" t="inlineStr"/>
      <c r="P14" s="21" t="inlineStr"/>
    </row>
    <row r="15" ht="55" customHeight="1">
      <c r="A15" s="14" t="n">
        <v>11</v>
      </c>
      <c r="B15" s="15" t="inlineStr">
        <is>
          <t>Production Deployment, Security &amp; Monitoring</t>
        </is>
      </c>
      <c r="C15" s="16" t="inlineStr">
        <is>
          <t>Engineer reliable, secure, containerized cloud infrastructure for real business usage.</t>
        </is>
      </c>
      <c r="D15" s="16" t="inlineStr">
        <is>
          <t>FastAPI async backend, Docker containerization, PostgreSQL database design, Redis message queuing &amp; background tasks, Authentication &amp; API keys, Observability (LangSmith / OpenLLMetry / Arize Phoenix), Rate limiting &amp; token quotas, Security (OWASP Top 10 for LLMs, Prompt Injection, Data Leakage).</t>
        </is>
      </c>
      <c r="E15" s="16" t="inlineStr">
        <is>
          <t>Phase 1 (Python, Linux, Git) &amp; Backend familiarity</t>
        </is>
      </c>
      <c r="F15" s="17" t="inlineStr">
        <is>
          <t>2027-09-16</t>
        </is>
      </c>
      <c r="G15" s="17" t="inlineStr">
        <is>
          <t>2027-10-15</t>
        </is>
      </c>
      <c r="H15" s="18" t="n">
        <v>70</v>
      </c>
      <c r="I15" s="18" t="n">
        <v>0</v>
      </c>
      <c r="J15" s="16" t="inlineStr">
        <is>
          <t>1. Dockerize full agent system with docker-compose (FastAPI, Redis, Postgres, pgvector).
2. Instrument agent with OpenTelemetry tracing and LangSmith dashboard.
3. Add prompt injection sanitization layer and rate limiter.</t>
        </is>
      </c>
      <c r="K15" s="16" t="inlineStr">
        <is>
          <t>Project 10: Production-Ready AI Sales Platform deployed on Render / Hetzner with healthchecks and monitoring.</t>
        </is>
      </c>
      <c r="L15" s="16" t="inlineStr">
        <is>
          <t>Server maintains 99.5% uptime under simulated load test; zero token quota leaks; full trace visibility on all agent decisions.</t>
        </is>
      </c>
      <c r="M15" s="16" t="inlineStr">
        <is>
          <t>Docker Docs, FastAPI Production Guide, OWASP LLM Top 10, LangSmith Docs</t>
        </is>
      </c>
      <c r="N15" s="14" t="inlineStr">
        <is>
          <t>Not Started</t>
        </is>
      </c>
      <c r="O15" s="17" t="inlineStr"/>
      <c r="P15" s="16" t="inlineStr"/>
    </row>
    <row r="16" ht="55" customHeight="1">
      <c r="A16" s="19" t="n">
        <v>12</v>
      </c>
      <c r="B16" s="20" t="inlineStr">
        <is>
          <t>Advanced AI Engineering &amp; Commercialization</t>
        </is>
      </c>
      <c r="C16" s="21" t="inlineStr">
        <is>
          <t>Package, market, and commercially sell specialized AI agents to business clients.</t>
        </is>
      </c>
      <c r="D16" s="21" t="inlineStr">
        <is>
          <t>Product-Market Fit for AI agents, Commercial pricing models (per-agent seat vs usage/success fee), Client onboarding workflows, Multi-tenant data segregation, Sales demos &amp; interactive landing pages, SLA definitions, Customer feedback loops, Maintenance &amp; ongoing agent retraining.</t>
        </is>
      </c>
      <c r="E16" s="21" t="inlineStr">
        <is>
          <t>All previous phases: Full working product</t>
        </is>
      </c>
      <c r="F16" s="22" t="inlineStr">
        <is>
          <t>2027-10-16</t>
        </is>
      </c>
      <c r="G16" s="22" t="inlineStr">
        <is>
          <t>2027-10-31</t>
        </is>
      </c>
      <c r="H16" s="23" t="n">
        <v>65</v>
      </c>
      <c r="I16" s="23" t="n">
        <v>0</v>
      </c>
      <c r="J16" s="21" t="inlineStr">
        <is>
          <t>1. Draft commercial SaaS terms &amp; SLA agreement for AI Sales Employee.
2. Build interactive public demo on Render / Vercel.
3. Conduct 5 customer discovery interviews with sales agency leaders.</t>
        </is>
      </c>
      <c r="K16" s="21" t="inlineStr">
        <is>
          <t>Live commercial offering: Landing page, documentation, interactive sales demo, and validated pricing packages.</t>
        </is>
      </c>
      <c r="L16" s="21" t="inlineStr">
        <is>
          <t>Secure at least 1 pilot business customer or formal letter of intent (LOI) to deploy AI Sales Employee.</t>
        </is>
      </c>
      <c r="M16" s="21" t="inlineStr">
        <is>
          <t>Y Combinator Startup School, Stripe Billing Docs, Commercial Product Validation Sheet</t>
        </is>
      </c>
      <c r="N16" s="19" t="inlineStr">
        <is>
          <t>Not Started</t>
        </is>
      </c>
      <c r="O16" s="22" t="inlineStr"/>
      <c r="P16" s="21" t="inlineStr"/>
    </row>
    <row r="17" ht="24" customHeight="1">
      <c r="A17" s="24" t="inlineStr">
        <is>
          <t>TOTAL CURRICULUM HOURS</t>
        </is>
      </c>
      <c r="B17" s="25" t="n"/>
      <c r="C17" s="25" t="n"/>
      <c r="D17" s="25" t="n"/>
      <c r="E17" s="25" t="n"/>
      <c r="F17" s="25" t="n"/>
      <c r="G17" s="25" t="n"/>
      <c r="H17" s="26">
        <f>SUM(H5:H16)</f>
        <v/>
      </c>
      <c r="I17" s="26">
        <f>SUM(I5:I16)</f>
        <v/>
      </c>
      <c r="J17" s="25" t="n"/>
      <c r="K17" s="25" t="n"/>
      <c r="L17" s="25" t="n"/>
      <c r="M17" s="25" t="n"/>
      <c r="N17" s="25" t="n"/>
      <c r="O17" s="25" t="n"/>
      <c r="P17" s="25" t="n"/>
    </row>
  </sheetData>
  <autoFilter ref="A4:P16"/>
  <mergeCells count="1">
    <mergeCell ref="A17:G17"/>
  </mergeCells>
  <dataValidations count="1">
    <dataValidation sqref="N5:N16" showDropDown="0" showInputMessage="0" showErrorMessage="0" allowBlank="1" type="list">
      <formula1>"Not Started,In Progress,Completed,Blocked,Review"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4" customWidth="1" min="4" max="4"/>
    <col width="24" customWidth="1" min="5" max="5"/>
    <col width="24" customWidth="1" min="6" max="6"/>
    <col width="30" customWidth="1" min="7" max="7"/>
    <col width="11" customWidth="1" min="8" max="8"/>
    <col width="14" customWidth="1" min="9" max="9"/>
    <col width="11" customWidth="1" min="10" max="10"/>
    <col width="24" customWidth="1" min="11" max="11"/>
    <col width="14" customWidth="1" min="12" max="12"/>
    <col width="13" customWidth="1" min="13" max="13"/>
    <col width="13" customWidth="1" min="14" max="14"/>
    <col width="12" customWidth="1" min="15" max="15"/>
    <col width="13" customWidth="1" min="16" max="16"/>
    <col width="12" customWidth="1" min="17" max="17"/>
    <col width="14" customWidth="1" min="18" max="18"/>
    <col width="13" customWidth="1" min="19" max="19"/>
    <col width="24" customWidth="1" min="20" max="20"/>
    <col width="25" customWidth="1" min="21" max="21"/>
    <col width="25" customWidth="1" min="22" max="22"/>
    <col width="25" customWidth="1" min="23" max="23"/>
    <col width="12" customWidth="1" min="24" max="24"/>
    <col width="12" customWidth="1" min="25" max="25"/>
  </cols>
  <sheetData>
    <row r="1" ht="24" customHeight="1">
      <c r="A1" s="12" t="inlineStr">
        <is>
          <t>DETAILED LEARNING SESSION TRACKER</t>
        </is>
      </c>
    </row>
    <row r="2" ht="18" customHeight="1">
      <c r="A2" s="2" t="inlineStr">
        <is>
          <t>Granular Session Log: Tracking Planned vs Actual Hours, Confidence, Evidence, Retention &amp; Retrospective Analysis</t>
        </is>
      </c>
    </row>
    <row r="4" ht="28" customHeight="1">
      <c r="A4" s="13" t="inlineStr">
        <is>
          <t>Learning ID</t>
        </is>
      </c>
      <c r="B4" s="13" t="inlineStr">
        <is>
          <t>Date</t>
        </is>
      </c>
      <c r="C4" s="13" t="inlineStr">
        <is>
          <t>Phase</t>
        </is>
      </c>
      <c r="D4" s="13" t="inlineStr">
        <is>
          <t>Subject</t>
        </is>
      </c>
      <c r="E4" s="13" t="inlineStr">
        <is>
          <t>Topic</t>
        </is>
      </c>
      <c r="F4" s="13" t="inlineStr">
        <is>
          <t>Subtopic</t>
        </is>
      </c>
      <c r="G4" s="13" t="inlineStr">
        <is>
          <t>Learning Objective</t>
        </is>
      </c>
      <c r="H4" s="13" t="inlineStr">
        <is>
          <t>Importance</t>
        </is>
      </c>
      <c r="I4" s="13" t="inlineStr">
        <is>
          <t>Prerequisites</t>
        </is>
      </c>
      <c r="J4" s="13" t="inlineStr">
        <is>
          <t>Resource ID</t>
        </is>
      </c>
      <c r="K4" s="13" t="inlineStr">
        <is>
          <t>Resource URL</t>
        </is>
      </c>
      <c r="L4" s="13" t="inlineStr">
        <is>
          <t>Resource Type</t>
        </is>
      </c>
      <c r="M4" s="13" t="inlineStr">
        <is>
          <t>Planned Duration (hrs)</t>
        </is>
      </c>
      <c r="N4" s="13" t="inlineStr">
        <is>
          <t>Actual Duration (hrs)</t>
        </is>
      </c>
      <c r="O4" s="13" t="inlineStr">
        <is>
          <t>Completion %</t>
        </is>
      </c>
      <c r="P4" s="13" t="inlineStr">
        <is>
          <t>Current Status</t>
        </is>
      </c>
      <c r="Q4" s="13" t="inlineStr">
        <is>
          <t>Confidence (1-5)</t>
        </is>
      </c>
      <c r="R4" s="13" t="inlineStr">
        <is>
          <t>Assessment Score (%)</t>
        </is>
      </c>
      <c r="S4" s="13" t="inlineStr">
        <is>
          <t>Practical Exercise Completed</t>
        </is>
      </c>
      <c r="T4" s="13" t="inlineStr">
        <is>
          <t>GitHub / Evidence Link</t>
        </is>
      </c>
      <c r="U4" s="13" t="inlineStr">
        <is>
          <t>Key Lessons Learned</t>
        </is>
      </c>
      <c r="V4" s="13" t="inlineStr">
        <is>
          <t>Questions or Difficulties</t>
        </is>
      </c>
      <c r="W4" s="13" t="inlineStr">
        <is>
          <t>Next Action</t>
        </is>
      </c>
      <c r="X4" s="13" t="inlineStr">
        <is>
          <t>Review Date</t>
        </is>
      </c>
      <c r="Y4" s="13" t="inlineStr">
        <is>
          <t>Completion Date</t>
        </is>
      </c>
    </row>
    <row r="5" ht="24" customHeight="1">
      <c r="A5" s="14" t="inlineStr">
        <is>
          <t>LRN-001</t>
        </is>
      </c>
      <c r="B5" s="17" t="inlineStr">
        <is>
          <t>2026-11-01</t>
        </is>
      </c>
      <c r="C5" s="17" t="inlineStr">
        <is>
          <t>Phase 1</t>
        </is>
      </c>
      <c r="D5" s="17" t="inlineStr">
        <is>
          <t>Python</t>
        </is>
      </c>
      <c r="E5" s="15" t="inlineStr">
        <is>
          <t>Data Structures &amp; OOP</t>
        </is>
      </c>
      <c r="F5" s="16" t="inlineStr">
        <is>
          <t>Classes, Dunder methods, TypedDict</t>
        </is>
      </c>
      <c r="G5" s="16" t="inlineStr">
        <is>
          <t>Master Python OOP design patterns and type hints for AI agent state representations</t>
        </is>
      </c>
      <c r="H5" s="14" t="inlineStr">
        <is>
          <t>High</t>
        </is>
      </c>
      <c r="I5" s="16" t="inlineStr">
        <is>
          <t>Python basics</t>
        </is>
      </c>
      <c r="J5" s="17" t="inlineStr">
        <is>
          <t>RES-017</t>
        </is>
      </c>
      <c r="K5" s="27" t="inlineStr">
        <is>
          <t>https://docs.python.org/3/tutorial/classes.html</t>
        </is>
      </c>
      <c r="L5" s="17" t="inlineStr">
        <is>
          <t>Official Doc</t>
        </is>
      </c>
      <c r="M5" s="28" t="n">
        <v>3</v>
      </c>
      <c r="N5" s="28" t="n">
        <v>0</v>
      </c>
      <c r="O5" s="29" t="n">
        <v>0</v>
      </c>
      <c r="P5" s="14" t="inlineStr">
        <is>
          <t>Not Started</t>
        </is>
      </c>
      <c r="Q5" s="17" t="n">
        <v>3</v>
      </c>
      <c r="R5" s="29" t="n"/>
      <c r="S5" s="17" t="inlineStr">
        <is>
          <t>No</t>
        </is>
      </c>
      <c r="T5" s="30" t="inlineStr"/>
      <c r="U5" s="16" t="inlineStr"/>
      <c r="V5" s="16" t="inlineStr"/>
      <c r="W5" s="16" t="inlineStr">
        <is>
          <t>Code custom Pydantic-style class with validation</t>
        </is>
      </c>
      <c r="X5" s="17" t="inlineStr">
        <is>
          <t>2026-11-04</t>
        </is>
      </c>
      <c r="Y5" s="17" t="inlineStr"/>
    </row>
    <row r="6" ht="24" customHeight="1">
      <c r="A6" s="19" t="inlineStr">
        <is>
          <t>LRN-002</t>
        </is>
      </c>
      <c r="B6" s="22" t="inlineStr">
        <is>
          <t>2026-11-03</t>
        </is>
      </c>
      <c r="C6" s="22" t="inlineStr">
        <is>
          <t>Phase 1</t>
        </is>
      </c>
      <c r="D6" s="22" t="inlineStr">
        <is>
          <t>Python</t>
        </is>
      </c>
      <c r="E6" s="20" t="inlineStr">
        <is>
          <t>API &amp; JSON Serialization</t>
        </is>
      </c>
      <c r="F6" s="21" t="inlineStr">
        <is>
          <t>requests, httpx, json module, Pydantic</t>
        </is>
      </c>
      <c r="G6" s="21" t="inlineStr">
        <is>
          <t>Build robust async API fetchers with automatic JSON deserialization and error retry loops</t>
        </is>
      </c>
      <c r="H6" s="19" t="inlineStr">
        <is>
          <t>High</t>
        </is>
      </c>
      <c r="I6" s="21" t="inlineStr">
        <is>
          <t>LRN-001</t>
        </is>
      </c>
      <c r="J6" s="22" t="inlineStr">
        <is>
          <t>RES-022</t>
        </is>
      </c>
      <c r="K6" s="31" t="inlineStr">
        <is>
          <t>https://fastapi.tiangolo.com/tutorial/body/</t>
        </is>
      </c>
      <c r="L6" s="22" t="inlineStr">
        <is>
          <t>Documentation</t>
        </is>
      </c>
      <c r="M6" s="32" t="n">
        <v>2.5</v>
      </c>
      <c r="N6" s="32" t="n">
        <v>0</v>
      </c>
      <c r="O6" s="33" t="n">
        <v>0</v>
      </c>
      <c r="P6" s="19" t="inlineStr">
        <is>
          <t>Not Started</t>
        </is>
      </c>
      <c r="Q6" s="22" t="n">
        <v>3</v>
      </c>
      <c r="R6" s="33" t="n"/>
      <c r="S6" s="22" t="inlineStr">
        <is>
          <t>No</t>
        </is>
      </c>
      <c r="T6" s="34" t="inlineStr"/>
      <c r="U6" s="21" t="inlineStr"/>
      <c r="V6" s="21" t="inlineStr"/>
      <c r="W6" s="21" t="inlineStr">
        <is>
          <t>Build CLI weather fetcher with exponential backoff</t>
        </is>
      </c>
      <c r="X6" s="22" t="inlineStr">
        <is>
          <t>2026-11-07</t>
        </is>
      </c>
      <c r="Y6" s="22" t="inlineStr"/>
    </row>
    <row r="7" ht="24" customHeight="1">
      <c r="A7" s="14" t="inlineStr">
        <is>
          <t>LRN-003</t>
        </is>
      </c>
      <c r="B7" s="17" t="inlineStr">
        <is>
          <t>2026-11-05</t>
        </is>
      </c>
      <c r="C7" s="17" t="inlineStr">
        <is>
          <t>Phase 1</t>
        </is>
      </c>
      <c r="D7" s="17" t="inlineStr">
        <is>
          <t>Mathematics</t>
        </is>
      </c>
      <c r="E7" s="15" t="inlineStr">
        <is>
          <t>Linear Algebra</t>
        </is>
      </c>
      <c r="F7" s="16" t="inlineStr">
        <is>
          <t>Vectors, Dot products, Matrix Multiplication</t>
        </is>
      </c>
      <c r="G7" s="16" t="inlineStr">
        <is>
          <t>Understand vector geometry and matrix operations essential for embeddings and attention layers</t>
        </is>
      </c>
      <c r="H7" s="14" t="inlineStr">
        <is>
          <t>High</t>
        </is>
      </c>
      <c r="I7" s="16" t="inlineStr">
        <is>
          <t>High school math</t>
        </is>
      </c>
      <c r="J7" s="17" t="inlineStr">
        <is>
          <t>RES-018</t>
        </is>
      </c>
      <c r="K7" s="27" t="inlineStr">
        <is>
          <t>https://numpy.org/doc/stable/user/quickstart.html</t>
        </is>
      </c>
      <c r="L7" s="17" t="inlineStr">
        <is>
          <t>Course/Doc</t>
        </is>
      </c>
      <c r="M7" s="28" t="n">
        <v>3.5</v>
      </c>
      <c r="N7" s="28" t="n">
        <v>0</v>
      </c>
      <c r="O7" s="29" t="n">
        <v>0</v>
      </c>
      <c r="P7" s="14" t="inlineStr">
        <is>
          <t>Not Started</t>
        </is>
      </c>
      <c r="Q7" s="17" t="n">
        <v>2</v>
      </c>
      <c r="R7" s="29" t="n"/>
      <c r="S7" s="17" t="inlineStr">
        <is>
          <t>No</t>
        </is>
      </c>
      <c r="T7" s="30" t="inlineStr"/>
      <c r="U7" s="16" t="inlineStr"/>
      <c r="V7" s="16" t="inlineStr"/>
      <c r="W7" s="16" t="inlineStr">
        <is>
          <t>Implement 2D and 3D matrix multiply without external libraries</t>
        </is>
      </c>
      <c r="X7" s="17" t="inlineStr">
        <is>
          <t>2026-11-10</t>
        </is>
      </c>
      <c r="Y7" s="17" t="inlineStr"/>
    </row>
    <row r="8" ht="24" customHeight="1">
      <c r="A8" s="19" t="inlineStr">
        <is>
          <t>LRN-004</t>
        </is>
      </c>
      <c r="B8" s="22" t="inlineStr">
        <is>
          <t>2026-11-08</t>
        </is>
      </c>
      <c r="C8" s="22" t="inlineStr">
        <is>
          <t>Phase 1</t>
        </is>
      </c>
      <c r="D8" s="22" t="inlineStr">
        <is>
          <t>Mathematics</t>
        </is>
      </c>
      <c r="E8" s="20" t="inlineStr">
        <is>
          <t>Probability &amp; Statistics</t>
        </is>
      </c>
      <c r="F8" s="21" t="inlineStr">
        <is>
          <t>Normal distribution, Bayes Theorem, Hypothesis Testing</t>
        </is>
      </c>
      <c r="G8" s="21" t="inlineStr">
        <is>
          <t>Develop statistical intuition for model confidence scores and A/B test lead conversions</t>
        </is>
      </c>
      <c r="H8" s="19" t="inlineStr">
        <is>
          <t>Medium</t>
        </is>
      </c>
      <c r="I8" s="21" t="inlineStr">
        <is>
          <t>LRN-003</t>
        </is>
      </c>
      <c r="J8" s="22" t="inlineStr">
        <is>
          <t>RES-001</t>
        </is>
      </c>
      <c r="K8" s="31" t="inlineStr">
        <is>
          <t>https://developers.google.com/machine-learning/crash-course</t>
        </is>
      </c>
      <c r="L8" s="22" t="inlineStr">
        <is>
          <t>Course</t>
        </is>
      </c>
      <c r="M8" s="32" t="n">
        <v>3</v>
      </c>
      <c r="N8" s="32" t="n">
        <v>0</v>
      </c>
      <c r="O8" s="33" t="n">
        <v>0</v>
      </c>
      <c r="P8" s="19" t="inlineStr">
        <is>
          <t>Not Started</t>
        </is>
      </c>
      <c r="Q8" s="22" t="n">
        <v>2</v>
      </c>
      <c r="R8" s="33" t="n"/>
      <c r="S8" s="22" t="inlineStr">
        <is>
          <t>No</t>
        </is>
      </c>
      <c r="T8" s="34" t="inlineStr"/>
      <c r="U8" s="21" t="inlineStr"/>
      <c r="V8" s="21" t="inlineStr"/>
      <c r="W8" s="21" t="inlineStr">
        <is>
          <t>Calculate conditional probability of lead conversion using Bayes rule</t>
        </is>
      </c>
      <c r="X8" s="22" t="inlineStr">
        <is>
          <t>2026-11-14</t>
        </is>
      </c>
      <c r="Y8" s="22" t="inlineStr"/>
    </row>
    <row r="9" ht="24" customHeight="1">
      <c r="A9" s="14" t="inlineStr">
        <is>
          <t>LRN-005</t>
        </is>
      </c>
      <c r="B9" s="17" t="inlineStr">
        <is>
          <t>2026-11-12</t>
        </is>
      </c>
      <c r="C9" s="17" t="inlineStr">
        <is>
          <t>Phase 1</t>
        </is>
      </c>
      <c r="D9" s="17" t="inlineStr">
        <is>
          <t>Mathematics</t>
        </is>
      </c>
      <c r="E9" s="15" t="inlineStr">
        <is>
          <t>Calculus &amp; Optimization</t>
        </is>
      </c>
      <c r="F9" s="16" t="inlineStr">
        <is>
          <t>Partial derivatives, Gradients, Chain Rule</t>
        </is>
      </c>
      <c r="G9" s="16" t="inlineStr">
        <is>
          <t>Understand loss landscapes and how gradient descent updates weights in ML models</t>
        </is>
      </c>
      <c r="H9" s="14" t="inlineStr">
        <is>
          <t>High</t>
        </is>
      </c>
      <c r="I9" s="16" t="inlineStr">
        <is>
          <t>LRN-003</t>
        </is>
      </c>
      <c r="J9" s="17" t="inlineStr">
        <is>
          <t>RES-001</t>
        </is>
      </c>
      <c r="K9" s="27" t="inlineStr">
        <is>
          <t>https://developers.google.com/machine-learning/crash-course</t>
        </is>
      </c>
      <c r="L9" s="17" t="inlineStr">
        <is>
          <t>Interactive Tutorial</t>
        </is>
      </c>
      <c r="M9" s="28" t="n">
        <v>3</v>
      </c>
      <c r="N9" s="28" t="n">
        <v>0</v>
      </c>
      <c r="O9" s="29" t="n">
        <v>0</v>
      </c>
      <c r="P9" s="14" t="inlineStr">
        <is>
          <t>Not Started</t>
        </is>
      </c>
      <c r="Q9" s="17" t="n">
        <v>2</v>
      </c>
      <c r="R9" s="29" t="n"/>
      <c r="S9" s="17" t="inlineStr">
        <is>
          <t>No</t>
        </is>
      </c>
      <c r="T9" s="30" t="inlineStr"/>
      <c r="U9" s="16" t="inlineStr"/>
      <c r="V9" s="16" t="inlineStr"/>
      <c r="W9" s="16" t="inlineStr">
        <is>
          <t>Write Python script finding minimum of f(x,y)=x^2+2y^2 via gradient descent</t>
        </is>
      </c>
      <c r="X9" s="17" t="inlineStr">
        <is>
          <t>2026-11-18</t>
        </is>
      </c>
      <c r="Y9" s="17" t="inlineStr"/>
    </row>
    <row r="10" ht="24" customHeight="1">
      <c r="A10" s="19" t="inlineStr">
        <is>
          <t>LRN-006</t>
        </is>
      </c>
      <c r="B10" s="22" t="inlineStr">
        <is>
          <t>2026-12-01</t>
        </is>
      </c>
      <c r="C10" s="22" t="inlineStr">
        <is>
          <t>Phase 2</t>
        </is>
      </c>
      <c r="D10" s="22" t="inlineStr">
        <is>
          <t>Data Analysis</t>
        </is>
      </c>
      <c r="E10" s="20" t="inlineStr">
        <is>
          <t>NumPy &amp; Pandas</t>
        </is>
      </c>
      <c r="F10" s="21" t="inlineStr">
        <is>
          <t>Array broadcasting, DataFrame filtering, GroupBy</t>
        </is>
      </c>
      <c r="G10" s="21" t="inlineStr">
        <is>
          <t>Master fast vectorized operations and sales dataset manipulation using Pandas</t>
        </is>
      </c>
      <c r="H10" s="19" t="inlineStr">
        <is>
          <t>High</t>
        </is>
      </c>
      <c r="I10" s="21" t="inlineStr">
        <is>
          <t>LRN-001, LRN-003</t>
        </is>
      </c>
      <c r="J10" s="22" t="inlineStr">
        <is>
          <t>RES-019</t>
        </is>
      </c>
      <c r="K10" s="31" t="inlineStr">
        <is>
          <t>https://pandas.pydata.org/docs/user_guide/</t>
        </is>
      </c>
      <c r="L10" s="22" t="inlineStr">
        <is>
          <t>Official Guide</t>
        </is>
      </c>
      <c r="M10" s="32" t="n">
        <v>3</v>
      </c>
      <c r="N10" s="32" t="n">
        <v>0</v>
      </c>
      <c r="O10" s="33" t="n">
        <v>0</v>
      </c>
      <c r="P10" s="19" t="inlineStr">
        <is>
          <t>Not Started</t>
        </is>
      </c>
      <c r="Q10" s="22" t="n">
        <v>3</v>
      </c>
      <c r="R10" s="33" t="n"/>
      <c r="S10" s="22" t="inlineStr">
        <is>
          <t>No</t>
        </is>
      </c>
      <c r="T10" s="34" t="inlineStr"/>
      <c r="U10" s="21" t="inlineStr"/>
      <c r="V10" s="21" t="inlineStr"/>
      <c r="W10" s="21" t="inlineStr">
        <is>
          <t>Analyze 10,000 sales transactions and calculate cohort retention</t>
        </is>
      </c>
      <c r="X10" s="22" t="inlineStr">
        <is>
          <t>2026-12-05</t>
        </is>
      </c>
      <c r="Y10" s="22" t="inlineStr"/>
    </row>
    <row r="11" ht="24" customHeight="1">
      <c r="A11" s="14" t="inlineStr">
        <is>
          <t>LRN-007</t>
        </is>
      </c>
      <c r="B11" s="17" t="inlineStr">
        <is>
          <t>2026-12-05</t>
        </is>
      </c>
      <c r="C11" s="17" t="inlineStr">
        <is>
          <t>Phase 2</t>
        </is>
      </c>
      <c r="D11" s="17" t="inlineStr">
        <is>
          <t>Data Analysis</t>
        </is>
      </c>
      <c r="E11" s="15" t="inlineStr">
        <is>
          <t>Exploratory Data Analysis</t>
        </is>
      </c>
      <c r="F11" s="16" t="inlineStr">
        <is>
          <t>Missing data handling, Outlier detection, Seaborn</t>
        </is>
      </c>
      <c r="G11" s="16" t="inlineStr">
        <is>
          <t>Learn to identify data quality anomalies, skewness, and correlations in B2B CRM datasets</t>
        </is>
      </c>
      <c r="H11" s="14" t="inlineStr">
        <is>
          <t>Medium</t>
        </is>
      </c>
      <c r="I11" s="16" t="inlineStr">
        <is>
          <t>LRN-006</t>
        </is>
      </c>
      <c r="J11" s="17" t="inlineStr">
        <is>
          <t>RES-019</t>
        </is>
      </c>
      <c r="K11" s="27" t="inlineStr">
        <is>
          <t>https://pandas.pydata.org/docs/user_guide/visualization.html</t>
        </is>
      </c>
      <c r="L11" s="17" t="inlineStr">
        <is>
          <t>Hands-on Lab</t>
        </is>
      </c>
      <c r="M11" s="28" t="n">
        <v>2.5</v>
      </c>
      <c r="N11" s="28" t="n">
        <v>0</v>
      </c>
      <c r="O11" s="29" t="n">
        <v>0</v>
      </c>
      <c r="P11" s="14" t="inlineStr">
        <is>
          <t>Not Started</t>
        </is>
      </c>
      <c r="Q11" s="17" t="n">
        <v>3</v>
      </c>
      <c r="R11" s="29" t="n"/>
      <c r="S11" s="17" t="inlineStr">
        <is>
          <t>No</t>
        </is>
      </c>
      <c r="T11" s="30" t="inlineStr"/>
      <c r="U11" s="16" t="inlineStr"/>
      <c r="V11" s="16" t="inlineStr"/>
      <c r="W11" s="16" t="inlineStr">
        <is>
          <t>Produce correlation heatmap and boxplots for lead response times</t>
        </is>
      </c>
      <c r="X11" s="17" t="inlineStr">
        <is>
          <t>2026-12-09</t>
        </is>
      </c>
      <c r="Y11" s="17" t="inlineStr"/>
    </row>
    <row r="12" ht="24" customHeight="1">
      <c r="A12" s="19" t="inlineStr">
        <is>
          <t>LRN-008</t>
        </is>
      </c>
      <c r="B12" s="22" t="inlineStr">
        <is>
          <t>2026-12-10</t>
        </is>
      </c>
      <c r="C12" s="22" t="inlineStr">
        <is>
          <t>Phase 2</t>
        </is>
      </c>
      <c r="D12" s="22" t="inlineStr">
        <is>
          <t>Machine Learning</t>
        </is>
      </c>
      <c r="E12" s="20" t="inlineStr">
        <is>
          <t>Supervised Learning</t>
        </is>
      </c>
      <c r="F12" s="21" t="inlineStr">
        <is>
          <t>Linear &amp; Logistic Regression, Odds Ratio</t>
        </is>
      </c>
      <c r="G12" s="21" t="inlineStr">
        <is>
          <t>Understand regression assumptions, classification boundaries, and sigmoid activation</t>
        </is>
      </c>
      <c r="H12" s="19" t="inlineStr">
        <is>
          <t>High</t>
        </is>
      </c>
      <c r="I12" s="21" t="inlineStr">
        <is>
          <t>LRN-005, LRN-006</t>
        </is>
      </c>
      <c r="J12" s="22" t="inlineStr">
        <is>
          <t>RES-016</t>
        </is>
      </c>
      <c r="K12" s="31" t="inlineStr">
        <is>
          <t>https://scikit-learn.org/stable/modules/linear_model.html</t>
        </is>
      </c>
      <c r="L12" s="22" t="inlineStr">
        <is>
          <t>Official Doc</t>
        </is>
      </c>
      <c r="M12" s="32" t="n">
        <v>3.5</v>
      </c>
      <c r="N12" s="32" t="n">
        <v>0</v>
      </c>
      <c r="O12" s="33" t="n">
        <v>0</v>
      </c>
      <c r="P12" s="19" t="inlineStr">
        <is>
          <t>Not Started</t>
        </is>
      </c>
      <c r="Q12" s="22" t="n">
        <v>2</v>
      </c>
      <c r="R12" s="33" t="n"/>
      <c r="S12" s="22" t="inlineStr">
        <is>
          <t>No</t>
        </is>
      </c>
      <c r="T12" s="34" t="inlineStr"/>
      <c r="U12" s="21" t="inlineStr"/>
      <c r="V12" s="21" t="inlineStr"/>
      <c r="W12" s="21" t="inlineStr">
        <is>
          <t>Build customer churn classifier using LogisticRegression with Scikit-learn</t>
        </is>
      </c>
      <c r="X12" s="22" t="inlineStr">
        <is>
          <t>2026-12-15</t>
        </is>
      </c>
      <c r="Y12" s="22" t="inlineStr"/>
    </row>
    <row r="13" ht="24" customHeight="1">
      <c r="A13" s="14" t="inlineStr">
        <is>
          <t>LRN-009</t>
        </is>
      </c>
      <c r="B13" s="17" t="inlineStr">
        <is>
          <t>2026-12-16</t>
        </is>
      </c>
      <c r="C13" s="17" t="inlineStr">
        <is>
          <t>Phase 2</t>
        </is>
      </c>
      <c r="D13" s="17" t="inlineStr">
        <is>
          <t>Machine Learning</t>
        </is>
      </c>
      <c r="E13" s="15" t="inlineStr">
        <is>
          <t>Tree Ensembles</t>
        </is>
      </c>
      <c r="F13" s="16" t="inlineStr">
        <is>
          <t>Decision Trees, Random Forest, XGBoost</t>
        </is>
      </c>
      <c r="G13" s="16" t="inlineStr">
        <is>
          <t>Master feature importance, bagging, boosting, and handling non-linear business tabular data</t>
        </is>
      </c>
      <c r="H13" s="14" t="inlineStr">
        <is>
          <t>High</t>
        </is>
      </c>
      <c r="I13" s="16" t="inlineStr">
        <is>
          <t>LRN-008</t>
        </is>
      </c>
      <c r="J13" s="17" t="inlineStr">
        <is>
          <t>RES-016</t>
        </is>
      </c>
      <c r="K13" s="27" t="inlineStr">
        <is>
          <t>https://scikit-learn.org/stable/modules/ensemble.html</t>
        </is>
      </c>
      <c r="L13" s="17" t="inlineStr">
        <is>
          <t>User Guide</t>
        </is>
      </c>
      <c r="M13" s="28" t="n">
        <v>3.5</v>
      </c>
      <c r="N13" s="28" t="n">
        <v>0</v>
      </c>
      <c r="O13" s="29" t="n">
        <v>0</v>
      </c>
      <c r="P13" s="14" t="inlineStr">
        <is>
          <t>Not Started</t>
        </is>
      </c>
      <c r="Q13" s="17" t="n">
        <v>2</v>
      </c>
      <c r="R13" s="29" t="n"/>
      <c r="S13" s="17" t="inlineStr">
        <is>
          <t>No</t>
        </is>
      </c>
      <c r="T13" s="30" t="inlineStr"/>
      <c r="U13" s="16" t="inlineStr"/>
      <c r="V13" s="16" t="inlineStr"/>
      <c r="W13" s="16" t="inlineStr">
        <is>
          <t>Train XGBoost classifier predicting whether an inbound lead will book a demo</t>
        </is>
      </c>
      <c r="X13" s="17" t="inlineStr">
        <is>
          <t>2026-12-21</t>
        </is>
      </c>
      <c r="Y13" s="17" t="inlineStr"/>
    </row>
    <row r="14" ht="24" customHeight="1">
      <c r="A14" s="19" t="inlineStr">
        <is>
          <t>LRN-010</t>
        </is>
      </c>
      <c r="B14" s="22" t="inlineStr">
        <is>
          <t>2026-12-22</t>
        </is>
      </c>
      <c r="C14" s="22" t="inlineStr">
        <is>
          <t>Phase 2</t>
        </is>
      </c>
      <c r="D14" s="22" t="inlineStr">
        <is>
          <t>Machine Learning</t>
        </is>
      </c>
      <c r="E14" s="20" t="inlineStr">
        <is>
          <t>Model Evaluation &amp; Validation</t>
        </is>
      </c>
      <c r="F14" s="21" t="inlineStr">
        <is>
          <t>Confusion Matrix, ROC-AUC, F1-score, Cross-Validation</t>
        </is>
      </c>
      <c r="G14" s="21" t="inlineStr">
        <is>
          <t>Evaluate classifiers realistically and avoid data leakage in time-series sales pipelines</t>
        </is>
      </c>
      <c r="H14" s="19" t="inlineStr">
        <is>
          <t>High</t>
        </is>
      </c>
      <c r="I14" s="21" t="inlineStr">
        <is>
          <t>LRN-009</t>
        </is>
      </c>
      <c r="J14" s="22" t="inlineStr">
        <is>
          <t>RES-016</t>
        </is>
      </c>
      <c r="K14" s="31" t="inlineStr">
        <is>
          <t>https://scikit-learn.org/stable/modules/model_evaluation.html</t>
        </is>
      </c>
      <c r="L14" s="22" t="inlineStr">
        <is>
          <t>Documentation</t>
        </is>
      </c>
      <c r="M14" s="32" t="n">
        <v>3</v>
      </c>
      <c r="N14" s="32" t="n">
        <v>0</v>
      </c>
      <c r="O14" s="33" t="n">
        <v>0</v>
      </c>
      <c r="P14" s="19" t="inlineStr">
        <is>
          <t>Not Started</t>
        </is>
      </c>
      <c r="Q14" s="22" t="n">
        <v>2</v>
      </c>
      <c r="R14" s="33" t="n"/>
      <c r="S14" s="22" t="inlineStr">
        <is>
          <t>No</t>
        </is>
      </c>
      <c r="T14" s="34" t="inlineStr"/>
      <c r="U14" s="21" t="inlineStr"/>
      <c r="V14" s="21" t="inlineStr"/>
      <c r="W14" s="21" t="inlineStr">
        <is>
          <t>Generate precision-recall curve and evaluate cost of false positive sales calls</t>
        </is>
      </c>
      <c r="X14" s="22" t="inlineStr">
        <is>
          <t>2026-12-28</t>
        </is>
      </c>
      <c r="Y14" s="22" t="inlineStr"/>
    </row>
    <row r="15" ht="24" customHeight="1">
      <c r="A15" s="14" t="inlineStr">
        <is>
          <t>LRN-011</t>
        </is>
      </c>
      <c r="B15" s="17" t="inlineStr">
        <is>
          <t>2027-01-02</t>
        </is>
      </c>
      <c r="C15" s="17" t="inlineStr">
        <is>
          <t>Phase 3</t>
        </is>
      </c>
      <c r="D15" s="17" t="inlineStr">
        <is>
          <t>Deep Learning</t>
        </is>
      </c>
      <c r="E15" s="15" t="inlineStr">
        <is>
          <t>PyTorch Tensors &amp; Autograd</t>
        </is>
      </c>
      <c r="F15" s="16" t="inlineStr">
        <is>
          <t>Tensor shapes, GPU tensors, autograd backwards()</t>
        </is>
      </c>
      <c r="G15" s="16" t="inlineStr">
        <is>
          <t>Master tensor manipulation, broadcasting rules, and automatic differentiation in PyTorch</t>
        </is>
      </c>
      <c r="H15" s="14" t="inlineStr">
        <is>
          <t>High</t>
        </is>
      </c>
      <c r="I15" s="16" t="inlineStr">
        <is>
          <t>LRN-003, LRN-005</t>
        </is>
      </c>
      <c r="J15" s="17" t="inlineStr">
        <is>
          <t>RES-014</t>
        </is>
      </c>
      <c r="K15" s="27" t="inlineStr">
        <is>
          <t>https://pytorch.org/tutorials/beginner/basics/tensorqs_tutorial.html</t>
        </is>
      </c>
      <c r="L15" s="17" t="inlineStr">
        <is>
          <t>Official Tutorial</t>
        </is>
      </c>
      <c r="M15" s="28" t="n">
        <v>3.5</v>
      </c>
      <c r="N15" s="28" t="n">
        <v>0</v>
      </c>
      <c r="O15" s="29" t="n">
        <v>0</v>
      </c>
      <c r="P15" s="14" t="inlineStr">
        <is>
          <t>Not Started</t>
        </is>
      </c>
      <c r="Q15" s="17" t="n">
        <v>2</v>
      </c>
      <c r="R15" s="29" t="n"/>
      <c r="S15" s="17" t="inlineStr">
        <is>
          <t>No</t>
        </is>
      </c>
      <c r="T15" s="30" t="inlineStr"/>
      <c r="U15" s="16" t="inlineStr"/>
      <c r="V15" s="16" t="inlineStr"/>
      <c r="W15" s="16" t="inlineStr">
        <is>
          <t>Write custom linear layer and autograd training loop in PyTorch</t>
        </is>
      </c>
      <c r="X15" s="17" t="inlineStr">
        <is>
          <t>2027-01-06</t>
        </is>
      </c>
      <c r="Y15" s="17" t="inlineStr"/>
    </row>
    <row r="16" ht="24" customHeight="1">
      <c r="A16" s="19" t="inlineStr">
        <is>
          <t>LRN-012</t>
        </is>
      </c>
      <c r="B16" s="22" t="inlineStr">
        <is>
          <t>2027-01-08</t>
        </is>
      </c>
      <c r="C16" s="22" t="inlineStr">
        <is>
          <t>Phase 3</t>
        </is>
      </c>
      <c r="D16" s="22" t="inlineStr">
        <is>
          <t>Deep Learning</t>
        </is>
      </c>
      <c r="E16" s="20" t="inlineStr">
        <is>
          <t>Neural Network Architectures</t>
        </is>
      </c>
      <c r="F16" s="21" t="inlineStr">
        <is>
          <t>MLP, Loss functions, AdamW, Dropout</t>
        </is>
      </c>
      <c r="G16" s="21" t="inlineStr">
        <is>
          <t>Build multi-layer perceptron networks, understand learning rate schedules and regularization</t>
        </is>
      </c>
      <c r="H16" s="19" t="inlineStr">
        <is>
          <t>High</t>
        </is>
      </c>
      <c r="I16" s="21" t="inlineStr">
        <is>
          <t>LRN-011</t>
        </is>
      </c>
      <c r="J16" s="22" t="inlineStr">
        <is>
          <t>RES-014</t>
        </is>
      </c>
      <c r="K16" s="31" t="inlineStr">
        <is>
          <t>https://pytorch.org/tutorials/beginner/basics/buildmodel_tutorial.html</t>
        </is>
      </c>
      <c r="L16" s="22" t="inlineStr">
        <is>
          <t>Tutorial</t>
        </is>
      </c>
      <c r="M16" s="32" t="n">
        <v>3.5</v>
      </c>
      <c r="N16" s="32" t="n">
        <v>0</v>
      </c>
      <c r="O16" s="33" t="n">
        <v>0</v>
      </c>
      <c r="P16" s="19" t="inlineStr">
        <is>
          <t>Not Started</t>
        </is>
      </c>
      <c r="Q16" s="22" t="n">
        <v>2</v>
      </c>
      <c r="R16" s="33" t="n"/>
      <c r="S16" s="22" t="inlineStr">
        <is>
          <t>No</t>
        </is>
      </c>
      <c r="T16" s="34" t="inlineStr"/>
      <c r="U16" s="21" t="inlineStr"/>
      <c r="V16" s="21" t="inlineStr"/>
      <c r="W16" s="21" t="inlineStr">
        <is>
          <t>Train PyTorch MLP classifying customer inquiries into 5 intent categories</t>
        </is>
      </c>
      <c r="X16" s="22" t="inlineStr">
        <is>
          <t>2027-01-13</t>
        </is>
      </c>
      <c r="Y16" s="22" t="inlineStr"/>
    </row>
    <row r="17" ht="24" customHeight="1">
      <c r="A17" s="14" t="inlineStr">
        <is>
          <t>LRN-013</t>
        </is>
      </c>
      <c r="B17" s="17" t="inlineStr">
        <is>
          <t>2027-01-15</t>
        </is>
      </c>
      <c r="C17" s="17" t="inlineStr">
        <is>
          <t>Phase 3</t>
        </is>
      </c>
      <c r="D17" s="17" t="inlineStr">
        <is>
          <t>Deep Learning</t>
        </is>
      </c>
      <c r="E17" s="15" t="inlineStr">
        <is>
          <t>Word &amp; Text Embeddings</t>
        </is>
      </c>
      <c r="F17" s="16" t="inlineStr">
        <is>
          <t>Word2Vec, Cosine Similarity, PyTorch nn.Embedding</t>
        </is>
      </c>
      <c r="G17" s="16" t="inlineStr">
        <is>
          <t>Understand how dense semantic representations capture conceptual relationships between words</t>
        </is>
      </c>
      <c r="H17" s="14" t="inlineStr">
        <is>
          <t>High</t>
        </is>
      </c>
      <c r="I17" s="16" t="inlineStr">
        <is>
          <t>LRN-012</t>
        </is>
      </c>
      <c r="J17" s="17" t="inlineStr">
        <is>
          <t>RES-012</t>
        </is>
      </c>
      <c r="K17" s="27" t="inlineStr">
        <is>
          <t>https://huggingface.co/learn/nlp-course/chapter1/1</t>
        </is>
      </c>
      <c r="L17" s="17" t="inlineStr">
        <is>
          <t>Course</t>
        </is>
      </c>
      <c r="M17" s="28" t="n">
        <v>3</v>
      </c>
      <c r="N17" s="28" t="n">
        <v>0</v>
      </c>
      <c r="O17" s="29" t="n">
        <v>0</v>
      </c>
      <c r="P17" s="14" t="inlineStr">
        <is>
          <t>Not Started</t>
        </is>
      </c>
      <c r="Q17" s="17" t="n">
        <v>2</v>
      </c>
      <c r="R17" s="29" t="n"/>
      <c r="S17" s="17" t="inlineStr">
        <is>
          <t>No</t>
        </is>
      </c>
      <c r="T17" s="30" t="inlineStr"/>
      <c r="U17" s="16" t="inlineStr"/>
      <c r="V17" s="16" t="inlineStr"/>
      <c r="W17" s="16" t="inlineStr">
        <is>
          <t>Compute cosine similarity between customer objections using embedding vectors</t>
        </is>
      </c>
      <c r="X17" s="17" t="inlineStr">
        <is>
          <t>2027-01-20</t>
        </is>
      </c>
      <c r="Y17" s="17" t="inlineStr"/>
    </row>
    <row r="18" ht="24" customHeight="1">
      <c r="A18" s="19" t="inlineStr">
        <is>
          <t>LRN-014</t>
        </is>
      </c>
      <c r="B18" s="22" t="inlineStr">
        <is>
          <t>2027-02-02</t>
        </is>
      </c>
      <c r="C18" s="22" t="inlineStr">
        <is>
          <t>Phase 4</t>
        </is>
      </c>
      <c r="D18" s="22" t="inlineStr">
        <is>
          <t>LLMs</t>
        </is>
      </c>
      <c r="E18" s="20" t="inlineStr">
        <is>
          <t>Tokenization &amp; Vocabularies</t>
        </is>
      </c>
      <c r="F18" s="21" t="inlineStr">
        <is>
          <t>Byte-Pair Encoding (BPE), tiktoken, SentencePiece</t>
        </is>
      </c>
      <c r="G18" s="21" t="inlineStr">
        <is>
          <t>Understand token boundaries, whitespace sensitivity, token economics, and tokenizer pitfalls</t>
        </is>
      </c>
      <c r="H18" s="19" t="inlineStr">
        <is>
          <t>High</t>
        </is>
      </c>
      <c r="I18" s="21" t="inlineStr">
        <is>
          <t>LRN-001</t>
        </is>
      </c>
      <c r="J18" s="22" t="inlineStr">
        <is>
          <t>RES-012</t>
        </is>
      </c>
      <c r="K18" s="31" t="inlineStr">
        <is>
          <t>https://huggingface.co/learn/nlp-course/chapter2/4</t>
        </is>
      </c>
      <c r="L18" s="22" t="inlineStr">
        <is>
          <t>Interactive</t>
        </is>
      </c>
      <c r="M18" s="32" t="n">
        <v>2.5</v>
      </c>
      <c r="N18" s="32" t="n">
        <v>0</v>
      </c>
      <c r="O18" s="33" t="n">
        <v>0</v>
      </c>
      <c r="P18" s="19" t="inlineStr">
        <is>
          <t>Not Started</t>
        </is>
      </c>
      <c r="Q18" s="22" t="n">
        <v>2</v>
      </c>
      <c r="R18" s="33" t="n"/>
      <c r="S18" s="22" t="inlineStr">
        <is>
          <t>No</t>
        </is>
      </c>
      <c r="T18" s="34" t="inlineStr"/>
      <c r="U18" s="21" t="inlineStr"/>
      <c r="V18" s="21" t="inlineStr"/>
      <c r="W18" s="21" t="inlineStr">
        <is>
          <t>Tokenize 100 sales emails with tiktoken and measure token cost efficiency</t>
        </is>
      </c>
      <c r="X18" s="22" t="inlineStr">
        <is>
          <t>2027-02-06</t>
        </is>
      </c>
      <c r="Y18" s="22" t="inlineStr"/>
    </row>
    <row r="19" ht="24" customHeight="1">
      <c r="A19" s="14" t="inlineStr">
        <is>
          <t>LRN-015</t>
        </is>
      </c>
      <c r="B19" s="17" t="inlineStr">
        <is>
          <t>2027-02-08</t>
        </is>
      </c>
      <c r="C19" s="17" t="inlineStr">
        <is>
          <t>Phase 4</t>
        </is>
      </c>
      <c r="D19" s="17" t="inlineStr">
        <is>
          <t>LLMs</t>
        </is>
      </c>
      <c r="E19" s="15" t="inlineStr">
        <is>
          <t>Transformer Attention Mechanism</t>
        </is>
      </c>
      <c r="F19" s="16" t="inlineStr">
        <is>
          <t>Scaled Dot-Product Attention, Multi-Head Attention</t>
        </is>
      </c>
      <c r="G19" s="16" t="inlineStr">
        <is>
          <t>Deconstruct queries, keys, values (Q, K, V) and mathematical intuitions behind self-attention</t>
        </is>
      </c>
      <c r="H19" s="14" t="inlineStr">
        <is>
          <t>High</t>
        </is>
      </c>
      <c r="I19" s="16" t="inlineStr">
        <is>
          <t>LRN-011, LRN-014</t>
        </is>
      </c>
      <c r="J19" s="17" t="inlineStr">
        <is>
          <t>RES-013</t>
        </is>
      </c>
      <c r="K19" s="27" t="inlineStr">
        <is>
          <t>https://huggingface.co/docs/transformers/index</t>
        </is>
      </c>
      <c r="L19" s="17" t="inlineStr">
        <is>
          <t>Paper / Doc</t>
        </is>
      </c>
      <c r="M19" s="28" t="n">
        <v>4</v>
      </c>
      <c r="N19" s="28" t="n">
        <v>0</v>
      </c>
      <c r="O19" s="29" t="n">
        <v>0</v>
      </c>
      <c r="P19" s="14" t="inlineStr">
        <is>
          <t>Not Started</t>
        </is>
      </c>
      <c r="Q19" s="17" t="n">
        <v>1</v>
      </c>
      <c r="R19" s="29" t="n"/>
      <c r="S19" s="17" t="inlineStr">
        <is>
          <t>No</t>
        </is>
      </c>
      <c r="T19" s="30" t="inlineStr"/>
      <c r="U19" s="16" t="inlineStr"/>
      <c r="V19" s="16" t="inlineStr"/>
      <c r="W19" s="16" t="inlineStr">
        <is>
          <t>Code single-head and multi-head attention module in pure PyTorch</t>
        </is>
      </c>
      <c r="X19" s="17" t="inlineStr">
        <is>
          <t>2027-02-14</t>
        </is>
      </c>
      <c r="Y19" s="17" t="inlineStr"/>
    </row>
    <row r="20" ht="24" customHeight="1">
      <c r="A20" s="19" t="inlineStr">
        <is>
          <t>LRN-016</t>
        </is>
      </c>
      <c r="B20" s="22" t="inlineStr">
        <is>
          <t>2027-02-18</t>
        </is>
      </c>
      <c r="C20" s="22" t="inlineStr">
        <is>
          <t>Phase 4</t>
        </is>
      </c>
      <c r="D20" s="22" t="inlineStr">
        <is>
          <t>LLMs</t>
        </is>
      </c>
      <c r="E20" s="20" t="inlineStr">
        <is>
          <t>Local Model Inference &amp; Quantization</t>
        </is>
      </c>
      <c r="F20" s="21" t="inlineStr">
        <is>
          <t>GGUF, Ollama, vLLM, llama.cpp, 4-bit/8-bit precision</t>
        </is>
      </c>
      <c r="G20" s="21" t="inlineStr">
        <is>
          <t>Deploy open-source LLMs (Llama-3, Mistral) on Ubuntu Linux with GPU acceleration</t>
        </is>
      </c>
      <c r="H20" s="19" t="inlineStr">
        <is>
          <t>High</t>
        </is>
      </c>
      <c r="I20" s="21" t="inlineStr">
        <is>
          <t>Linux CLI, LRN-014</t>
        </is>
      </c>
      <c r="J20" s="22" t="inlineStr">
        <is>
          <t>RES-009</t>
        </is>
      </c>
      <c r="K20" s="31" t="inlineStr">
        <is>
          <t>https://llama.meta.com/docs</t>
        </is>
      </c>
      <c r="L20" s="22" t="inlineStr">
        <is>
          <t>Official Doc</t>
        </is>
      </c>
      <c r="M20" s="32" t="n">
        <v>3.5</v>
      </c>
      <c r="N20" s="32" t="n">
        <v>0</v>
      </c>
      <c r="O20" s="33" t="n">
        <v>0</v>
      </c>
      <c r="P20" s="19" t="inlineStr">
        <is>
          <t>Not Started</t>
        </is>
      </c>
      <c r="Q20" s="22" t="n">
        <v>2</v>
      </c>
      <c r="R20" s="33" t="n"/>
      <c r="S20" s="22" t="inlineStr">
        <is>
          <t>No</t>
        </is>
      </c>
      <c r="T20" s="34" t="inlineStr"/>
      <c r="U20" s="21" t="inlineStr"/>
      <c r="V20" s="21" t="inlineStr"/>
      <c r="W20" s="21" t="inlineStr">
        <is>
          <t>Benchmark tokens/sec and VRAM usage of Llama-3-8B 4-bit vs 8-bit locally</t>
        </is>
      </c>
      <c r="X20" s="22" t="inlineStr">
        <is>
          <t>2027-02-24</t>
        </is>
      </c>
      <c r="Y20" s="22" t="inlineStr"/>
    </row>
    <row r="21" ht="24" customHeight="1">
      <c r="A21" s="14" t="inlineStr">
        <is>
          <t>LRN-017</t>
        </is>
      </c>
      <c r="B21" s="17" t="inlineStr">
        <is>
          <t>2027-03-02</t>
        </is>
      </c>
      <c r="C21" s="17" t="inlineStr">
        <is>
          <t>Phase 5</t>
        </is>
      </c>
      <c r="D21" s="17" t="inlineStr">
        <is>
          <t>LLM APIs</t>
        </is>
      </c>
      <c r="E21" s="15" t="inlineStr">
        <is>
          <t>Structured Outputs &amp; JSON Schema</t>
        </is>
      </c>
      <c r="F21" s="16" t="inlineStr">
        <is>
          <t>Pydantic, OpenAI response_format, Gemini structured mode</t>
        </is>
      </c>
      <c r="G21" s="16" t="inlineStr">
        <is>
          <t>Enforce 100% deterministic JSON schemas from LLM generation for programmatic agent workflows</t>
        </is>
      </c>
      <c r="H21" s="14" t="inlineStr">
        <is>
          <t>High</t>
        </is>
      </c>
      <c r="I21" s="16" t="inlineStr">
        <is>
          <t>LRN-002, LRN-014</t>
        </is>
      </c>
      <c r="J21" s="17" t="inlineStr">
        <is>
          <t>RES-007</t>
        </is>
      </c>
      <c r="K21" s="27" t="inlineStr">
        <is>
          <t>https://platform.openai.com/docs/guides/structured-outputs</t>
        </is>
      </c>
      <c r="L21" s="17" t="inlineStr">
        <is>
          <t>Official Guide</t>
        </is>
      </c>
      <c r="M21" s="28" t="n">
        <v>3</v>
      </c>
      <c r="N21" s="28" t="n">
        <v>0</v>
      </c>
      <c r="O21" s="29" t="n">
        <v>0</v>
      </c>
      <c r="P21" s="14" t="inlineStr">
        <is>
          <t>Not Started</t>
        </is>
      </c>
      <c r="Q21" s="17" t="n">
        <v>3</v>
      </c>
      <c r="R21" s="29" t="n"/>
      <c r="S21" s="17" t="inlineStr">
        <is>
          <t>No</t>
        </is>
      </c>
      <c r="T21" s="30" t="inlineStr"/>
      <c r="U21" s="16" t="inlineStr"/>
      <c r="V21" s="16" t="inlineStr"/>
      <c r="W21" s="16" t="inlineStr">
        <is>
          <t>Extract structured BANT lead qualification JSON from raw sales call transcripts</t>
        </is>
      </c>
      <c r="X21" s="17" t="inlineStr">
        <is>
          <t>2027-03-06</t>
        </is>
      </c>
      <c r="Y21" s="17" t="inlineStr"/>
    </row>
    <row r="22" ht="24" customHeight="1">
      <c r="A22" s="19" t="inlineStr">
        <is>
          <t>LRN-018</t>
        </is>
      </c>
      <c r="B22" s="22" t="inlineStr">
        <is>
          <t>2027-03-08</t>
        </is>
      </c>
      <c r="C22" s="22" t="inlineStr">
        <is>
          <t>Phase 5</t>
        </is>
      </c>
      <c r="D22" s="22" t="inlineStr">
        <is>
          <t>LLM APIs</t>
        </is>
      </c>
      <c r="E22" s="20" t="inlineStr">
        <is>
          <t>System Prompt Engineering</t>
        </is>
      </c>
      <c r="F22" s="21" t="inlineStr">
        <is>
          <t>Role conditioning, Few-shot demonstrations, Guardrail instructions</t>
        </is>
      </c>
      <c r="G22" s="21" t="inlineStr">
        <is>
          <t>Craft bulletproof system instructions that resist jailbreaking and maintain brand voice</t>
        </is>
      </c>
      <c r="H22" s="19" t="inlineStr">
        <is>
          <t>High</t>
        </is>
      </c>
      <c r="I22" s="21" t="inlineStr">
        <is>
          <t>LRN-017</t>
        </is>
      </c>
      <c r="J22" s="22" t="inlineStr">
        <is>
          <t>RES-004</t>
        </is>
      </c>
      <c r="K22" s="31" t="inlineStr">
        <is>
          <t>https://github.com/google-gemini/cookbook</t>
        </is>
      </c>
      <c r="L22" s="22" t="inlineStr">
        <is>
          <t>Cookbook</t>
        </is>
      </c>
      <c r="M22" s="32" t="n">
        <v>3</v>
      </c>
      <c r="N22" s="32" t="n">
        <v>0</v>
      </c>
      <c r="O22" s="33" t="n">
        <v>0</v>
      </c>
      <c r="P22" s="19" t="inlineStr">
        <is>
          <t>Not Started</t>
        </is>
      </c>
      <c r="Q22" s="22" t="n">
        <v>3</v>
      </c>
      <c r="R22" s="33" t="n"/>
      <c r="S22" s="22" t="inlineStr">
        <is>
          <t>No</t>
        </is>
      </c>
      <c r="T22" s="34" t="inlineStr"/>
      <c r="U22" s="21" t="inlineStr"/>
      <c r="V22" s="21" t="inlineStr"/>
      <c r="W22" s="21" t="inlineStr">
        <is>
          <t>Build AI Sales Rep persona with strict guardrails against unauthorized discounting</t>
        </is>
      </c>
      <c r="X22" s="22" t="inlineStr">
        <is>
          <t>2027-03-13</t>
        </is>
      </c>
      <c r="Y22" s="22" t="inlineStr"/>
    </row>
    <row r="23" ht="24" customHeight="1">
      <c r="A23" s="14" t="inlineStr">
        <is>
          <t>LRN-019</t>
        </is>
      </c>
      <c r="B23" s="17" t="inlineStr">
        <is>
          <t>2027-03-15</t>
        </is>
      </c>
      <c r="C23" s="17" t="inlineStr">
        <is>
          <t>Phase 5</t>
        </is>
      </c>
      <c r="D23" s="17" t="inlineStr">
        <is>
          <t>LLM APIs</t>
        </is>
      </c>
      <c r="E23" s="15" t="inlineStr">
        <is>
          <t>Evaluation &amp; Cost Tracking</t>
        </is>
      </c>
      <c r="F23" s="16" t="inlineStr">
        <is>
          <t>Prompt bench, Token counting, Latency tracking, LLM-as-a-judge</t>
        </is>
      </c>
      <c r="G23" s="16" t="inlineStr">
        <is>
          <t>Build regression test suite to measure prompt performance across 50 simulated lead scenarios</t>
        </is>
      </c>
      <c r="H23" s="14" t="inlineStr">
        <is>
          <t>Medium</t>
        </is>
      </c>
      <c r="I23" s="16" t="inlineStr">
        <is>
          <t>LRN-017</t>
        </is>
      </c>
      <c r="J23" s="17" t="inlineStr">
        <is>
          <t>RES-008</t>
        </is>
      </c>
      <c r="K23" s="27" t="inlineStr">
        <is>
          <t>https://platform.openai.com/docs/guides/evals</t>
        </is>
      </c>
      <c r="L23" s="17" t="inlineStr">
        <is>
          <t>Guide</t>
        </is>
      </c>
      <c r="M23" s="28" t="n">
        <v>2.5</v>
      </c>
      <c r="N23" s="28" t="n">
        <v>0</v>
      </c>
      <c r="O23" s="29" t="n">
        <v>0</v>
      </c>
      <c r="P23" s="14" t="inlineStr">
        <is>
          <t>Not Started</t>
        </is>
      </c>
      <c r="Q23" s="17" t="n">
        <v>2</v>
      </c>
      <c r="R23" s="29" t="n"/>
      <c r="S23" s="17" t="inlineStr">
        <is>
          <t>No</t>
        </is>
      </c>
      <c r="T23" s="30" t="inlineStr"/>
      <c r="U23" s="16" t="inlineStr"/>
      <c r="V23" s="16" t="inlineStr"/>
      <c r="W23" s="16" t="inlineStr">
        <is>
          <t>Write automated evaluation script scoring sales responses on a 1-5 rubric</t>
        </is>
      </c>
      <c r="X23" s="17" t="inlineStr">
        <is>
          <t>2027-03-20</t>
        </is>
      </c>
      <c r="Y23" s="17" t="inlineStr"/>
    </row>
    <row r="24" ht="24" customHeight="1">
      <c r="A24" s="19" t="inlineStr">
        <is>
          <t>LRN-020</t>
        </is>
      </c>
      <c r="B24" s="22" t="inlineStr">
        <is>
          <t>2027-03-27</t>
        </is>
      </c>
      <c r="C24" s="22" t="inlineStr">
        <is>
          <t>Phase 6</t>
        </is>
      </c>
      <c r="D24" s="22" t="inlineStr">
        <is>
          <t>RAG</t>
        </is>
      </c>
      <c r="E24" s="20" t="inlineStr">
        <is>
          <t>Document Chunking &amp; Processing</t>
        </is>
      </c>
      <c r="F24" s="21" t="inlineStr">
        <is>
          <t>Semantic chunking, Markdown splitting, Metadata tagging</t>
        </is>
      </c>
      <c r="G24" s="21" t="inlineStr">
        <is>
          <t>Clean and split product manuals, pricing sheets, and objection docs into optimal vector chunks</t>
        </is>
      </c>
      <c r="H24" s="19" t="inlineStr">
        <is>
          <t>High</t>
        </is>
      </c>
      <c r="I24" s="21" t="inlineStr">
        <is>
          <t>LRN-014</t>
        </is>
      </c>
      <c r="J24" s="22" t="inlineStr">
        <is>
          <t>RES-013</t>
        </is>
      </c>
      <c r="K24" s="31" t="inlineStr">
        <is>
          <t>https://huggingface.co/docs/transformers/index</t>
        </is>
      </c>
      <c r="L24" s="22" t="inlineStr">
        <is>
          <t>Hands-on Lab</t>
        </is>
      </c>
      <c r="M24" s="32" t="n">
        <v>3</v>
      </c>
      <c r="N24" s="32" t="n">
        <v>0</v>
      </c>
      <c r="O24" s="33" t="n">
        <v>0</v>
      </c>
      <c r="P24" s="19" t="inlineStr">
        <is>
          <t>Not Started</t>
        </is>
      </c>
      <c r="Q24" s="22" t="n">
        <v>2</v>
      </c>
      <c r="R24" s="33" t="n"/>
      <c r="S24" s="22" t="inlineStr">
        <is>
          <t>No</t>
        </is>
      </c>
      <c r="T24" s="34" t="inlineStr"/>
      <c r="U24" s="21" t="inlineStr"/>
      <c r="V24" s="21" t="inlineStr"/>
      <c r="W24" s="21" t="inlineStr">
        <is>
          <t>Process 50-page enterprise software catalog into chunked JSON with page metadata</t>
        </is>
      </c>
      <c r="X24" s="22" t="inlineStr">
        <is>
          <t>2027-04-01</t>
        </is>
      </c>
      <c r="Y24" s="22" t="inlineStr"/>
    </row>
    <row r="25" ht="24" customHeight="1">
      <c r="A25" s="14" t="inlineStr">
        <is>
          <t>LRN-021</t>
        </is>
      </c>
      <c r="B25" s="17" t="inlineStr">
        <is>
          <t>2027-04-03</t>
        </is>
      </c>
      <c r="C25" s="17" t="inlineStr">
        <is>
          <t>Phase 6</t>
        </is>
      </c>
      <c r="D25" s="17" t="inlineStr">
        <is>
          <t>RAG</t>
        </is>
      </c>
      <c r="E25" s="15" t="inlineStr">
        <is>
          <t>Vector Search with pgvector &amp; Chroma</t>
        </is>
      </c>
      <c r="F25" s="16" t="inlineStr">
        <is>
          <t>HNSW indexing, Cosine similarity, PostgreSQL pgvector</t>
        </is>
      </c>
      <c r="G25" s="16" t="inlineStr">
        <is>
          <t>Store and query embeddings efficiently in production PostgreSQL with pgvector extension</t>
        </is>
      </c>
      <c r="H25" s="14" t="inlineStr">
        <is>
          <t>High</t>
        </is>
      </c>
      <c r="I25" s="16" t="inlineStr">
        <is>
          <t>LRN-020, SQL</t>
        </is>
      </c>
      <c r="J25" s="17" t="inlineStr">
        <is>
          <t>RES-023</t>
        </is>
      </c>
      <c r="K25" s="27" t="inlineStr">
        <is>
          <t>https://github.com/pgvector/pgvector</t>
        </is>
      </c>
      <c r="L25" s="17" t="inlineStr">
        <is>
          <t>Official Repo/Doc</t>
        </is>
      </c>
      <c r="M25" s="28" t="n">
        <v>3.5</v>
      </c>
      <c r="N25" s="28" t="n">
        <v>0</v>
      </c>
      <c r="O25" s="29" t="n">
        <v>0</v>
      </c>
      <c r="P25" s="14" t="inlineStr">
        <is>
          <t>Not Started</t>
        </is>
      </c>
      <c r="Q25" s="17" t="n">
        <v>2</v>
      </c>
      <c r="R25" s="29" t="n"/>
      <c r="S25" s="17" t="inlineStr">
        <is>
          <t>No</t>
        </is>
      </c>
      <c r="T25" s="30" t="inlineStr"/>
      <c r="U25" s="16" t="inlineStr"/>
      <c r="V25" s="16" t="inlineStr"/>
      <c r="W25" s="16" t="inlineStr">
        <is>
          <t>Deploy PostgreSQL container with pgvector and query top-5 matching product docs</t>
        </is>
      </c>
      <c r="X25" s="17" t="inlineStr">
        <is>
          <t>2027-04-08</t>
        </is>
      </c>
      <c r="Y25" s="17" t="inlineStr"/>
    </row>
    <row r="26" ht="24" customHeight="1">
      <c r="A26" s="19" t="inlineStr">
        <is>
          <t>LRN-022</t>
        </is>
      </c>
      <c r="B26" s="22" t="inlineStr">
        <is>
          <t>2027-04-12</t>
        </is>
      </c>
      <c r="C26" s="22" t="inlineStr">
        <is>
          <t>Phase 6</t>
        </is>
      </c>
      <c r="D26" s="22" t="inlineStr">
        <is>
          <t>RAG</t>
        </is>
      </c>
      <c r="E26" s="20" t="inlineStr">
        <is>
          <t>Hybrid Search &amp; Cross-Encoder Reranking</t>
        </is>
      </c>
      <c r="F26" s="21" t="inlineStr">
        <is>
          <t>Dense vector search, BM25 keyword search, Cohere Rerank</t>
        </is>
      </c>
      <c r="G26" s="21" t="inlineStr">
        <is>
          <t>Combine keyword exact-matching with semantic retrieval to eliminate retrieval blindspots</t>
        </is>
      </c>
      <c r="H26" s="19" t="inlineStr">
        <is>
          <t>High</t>
        </is>
      </c>
      <c r="I26" s="21" t="inlineStr">
        <is>
          <t>LRN-021</t>
        </is>
      </c>
      <c r="J26" s="22" t="inlineStr">
        <is>
          <t>RES-020</t>
        </is>
      </c>
      <c r="K26" s="31" t="inlineStr">
        <is>
          <t>https://langchain-ai.github.io/langgraph/</t>
        </is>
      </c>
      <c r="L26" s="22" t="inlineStr">
        <is>
          <t>Documentation</t>
        </is>
      </c>
      <c r="M26" s="32" t="n">
        <v>3.5</v>
      </c>
      <c r="N26" s="32" t="n">
        <v>0</v>
      </c>
      <c r="O26" s="33" t="n">
        <v>0</v>
      </c>
      <c r="P26" s="19" t="inlineStr">
        <is>
          <t>Not Started</t>
        </is>
      </c>
      <c r="Q26" s="22" t="n">
        <v>2</v>
      </c>
      <c r="R26" s="33" t="n"/>
      <c r="S26" s="22" t="inlineStr">
        <is>
          <t>No</t>
        </is>
      </c>
      <c r="T26" s="34" t="inlineStr"/>
      <c r="U26" s="21" t="inlineStr"/>
      <c r="V26" s="21" t="inlineStr"/>
      <c r="W26" s="21" t="inlineStr">
        <is>
          <t>Build hybrid retrieval pipeline that accurately finds specific product part numbers</t>
        </is>
      </c>
      <c r="X26" s="22" t="inlineStr">
        <is>
          <t>2027-04-18</t>
        </is>
      </c>
      <c r="Y26" s="22" t="inlineStr"/>
    </row>
    <row r="27" ht="24" customHeight="1">
      <c r="A27" s="14" t="inlineStr">
        <is>
          <t>LRN-023</t>
        </is>
      </c>
      <c r="B27" s="17" t="inlineStr">
        <is>
          <t>2027-04-20</t>
        </is>
      </c>
      <c r="C27" s="17" t="inlineStr">
        <is>
          <t>Phase 6</t>
        </is>
      </c>
      <c r="D27" s="17" t="inlineStr">
        <is>
          <t>RAG</t>
        </is>
      </c>
      <c r="E27" s="15" t="inlineStr">
        <is>
          <t>Grounding, Citations &amp; Hallucination Defense</t>
        </is>
      </c>
      <c r="F27" s="16" t="inlineStr">
        <is>
          <t>Context window injection, Citation extraction, RAG Triad</t>
        </is>
      </c>
      <c r="G27" s="16" t="inlineStr">
        <is>
          <t>Force LLM to produce verified bracketed citations and refuse ungrounded speculative answers</t>
        </is>
      </c>
      <c r="H27" s="14" t="inlineStr">
        <is>
          <t>High</t>
        </is>
      </c>
      <c r="I27" s="16" t="inlineStr">
        <is>
          <t>LRN-022</t>
        </is>
      </c>
      <c r="J27" s="17" t="inlineStr">
        <is>
          <t>RES-004</t>
        </is>
      </c>
      <c r="K27" s="27" t="inlineStr">
        <is>
          <t>https://ai.google.dev/docs</t>
        </is>
      </c>
      <c r="L27" s="17" t="inlineStr">
        <is>
          <t>Cookbook</t>
        </is>
      </c>
      <c r="M27" s="28" t="n">
        <v>3</v>
      </c>
      <c r="N27" s="28" t="n">
        <v>0</v>
      </c>
      <c r="O27" s="29" t="n">
        <v>0</v>
      </c>
      <c r="P27" s="14" t="inlineStr">
        <is>
          <t>Not Started</t>
        </is>
      </c>
      <c r="Q27" s="17" t="n">
        <v>2</v>
      </c>
      <c r="R27" s="29" t="n"/>
      <c r="S27" s="17" t="inlineStr">
        <is>
          <t>No</t>
        </is>
      </c>
      <c r="T27" s="30" t="inlineStr"/>
      <c r="U27" s="16" t="inlineStr"/>
      <c r="V27" s="16" t="inlineStr"/>
      <c r="W27" s="16" t="inlineStr">
        <is>
          <t>Build Product Knowledge Assistant that includes exact manual page references</t>
        </is>
      </c>
      <c r="X27" s="17" t="inlineStr">
        <is>
          <t>2027-04-26</t>
        </is>
      </c>
      <c r="Y27" s="17" t="inlineStr"/>
    </row>
    <row r="28" ht="24" customHeight="1">
      <c r="A28" s="19" t="inlineStr">
        <is>
          <t>LRN-024</t>
        </is>
      </c>
      <c r="B28" s="22" t="inlineStr">
        <is>
          <t>2027-05-02</t>
        </is>
      </c>
      <c r="C28" s="22" t="inlineStr">
        <is>
          <t>Phase 7</t>
        </is>
      </c>
      <c r="D28" s="22" t="inlineStr">
        <is>
          <t>AI Agents</t>
        </is>
      </c>
      <c r="E28" s="20" t="inlineStr">
        <is>
          <t>Function &amp; Tool Calling Schemas</t>
        </is>
      </c>
      <c r="F28" s="21" t="inlineStr">
        <is>
          <t>OpenAI tools parameter, JSON schema tool definitions</t>
        </is>
      </c>
      <c r="G28" s="21" t="inlineStr">
        <is>
          <t>Define strict tool interfaces that allow LLMs to invoke external Python functions predictably</t>
        </is>
      </c>
      <c r="H28" s="19" t="inlineStr">
        <is>
          <t>High</t>
        </is>
      </c>
      <c r="I28" s="21" t="inlineStr">
        <is>
          <t>LRN-017</t>
        </is>
      </c>
      <c r="J28" s="22" t="inlineStr">
        <is>
          <t>RES-006</t>
        </is>
      </c>
      <c r="K28" s="31" t="inlineStr">
        <is>
          <t>https://platform.openai.com/docs/guides/function-calling</t>
        </is>
      </c>
      <c r="L28" s="22" t="inlineStr">
        <is>
          <t>Official Doc</t>
        </is>
      </c>
      <c r="M28" s="32" t="n">
        <v>3.5</v>
      </c>
      <c r="N28" s="32" t="n">
        <v>0</v>
      </c>
      <c r="O28" s="33" t="n">
        <v>0</v>
      </c>
      <c r="P28" s="19" t="inlineStr">
        <is>
          <t>Not Started</t>
        </is>
      </c>
      <c r="Q28" s="22" t="n">
        <v>2</v>
      </c>
      <c r="R28" s="33" t="n"/>
      <c r="S28" s="22" t="inlineStr">
        <is>
          <t>No</t>
        </is>
      </c>
      <c r="T28" s="34" t="inlineStr"/>
      <c r="U28" s="21" t="inlineStr"/>
      <c r="V28" s="21" t="inlineStr"/>
      <c r="W28" s="21" t="inlineStr">
        <is>
          <t>Write tool schemas for `check_inventory(sku)` and `get_client_crm_profile(email)`</t>
        </is>
      </c>
      <c r="X28" s="22" t="inlineStr">
        <is>
          <t>2027-05-07</t>
        </is>
      </c>
      <c r="Y28" s="22" t="inlineStr"/>
    </row>
    <row r="29" ht="24" customHeight="1">
      <c r="A29" s="14" t="inlineStr">
        <is>
          <t>LRN-025</t>
        </is>
      </c>
      <c r="B29" s="17" t="inlineStr">
        <is>
          <t>2027-05-10</t>
        </is>
      </c>
      <c r="C29" s="17" t="inlineStr">
        <is>
          <t>Phase 7</t>
        </is>
      </c>
      <c r="D29" s="17" t="inlineStr">
        <is>
          <t>AI Agents</t>
        </is>
      </c>
      <c r="E29" s="15" t="inlineStr">
        <is>
          <t>ReAct Loop Architecture</t>
        </is>
      </c>
      <c r="F29" s="16" t="inlineStr">
        <is>
          <t>Thought-Action-Observation loop, Parse error handling</t>
        </is>
      </c>
      <c r="G29" s="16" t="inlineStr">
        <is>
          <t>Build pure-Python autonomous execution loop that executes tools and feeds output back to LLM</t>
        </is>
      </c>
      <c r="H29" s="14" t="inlineStr">
        <is>
          <t>High</t>
        </is>
      </c>
      <c r="I29" s="16" t="inlineStr">
        <is>
          <t>LRN-024</t>
        </is>
      </c>
      <c r="J29" s="17" t="inlineStr">
        <is>
          <t>RES-020</t>
        </is>
      </c>
      <c r="K29" s="27" t="inlineStr">
        <is>
          <t>https://langchain-ai.github.io/langgraph/</t>
        </is>
      </c>
      <c r="L29" s="17" t="inlineStr">
        <is>
          <t>Tutorial</t>
        </is>
      </c>
      <c r="M29" s="28" t="n">
        <v>4</v>
      </c>
      <c r="N29" s="28" t="n">
        <v>0</v>
      </c>
      <c r="O29" s="29" t="n">
        <v>0</v>
      </c>
      <c r="P29" s="14" t="inlineStr">
        <is>
          <t>Not Started</t>
        </is>
      </c>
      <c r="Q29" s="17" t="n">
        <v>1</v>
      </c>
      <c r="R29" s="29" t="n"/>
      <c r="S29" s="17" t="inlineStr">
        <is>
          <t>No</t>
        </is>
      </c>
      <c r="T29" s="30" t="inlineStr"/>
      <c r="U29" s="16" t="inlineStr"/>
      <c r="V29" s="16" t="inlineStr"/>
      <c r="W29" s="16" t="inlineStr">
        <is>
          <t>Implement ReAct agent from scratch without LangChain, calling 3 tools sequentially</t>
        </is>
      </c>
      <c r="X29" s="17" t="inlineStr">
        <is>
          <t>2027-05-16</t>
        </is>
      </c>
      <c r="Y29" s="17" t="inlineStr"/>
    </row>
    <row r="30" ht="24" customHeight="1">
      <c r="A30" s="19" t="inlineStr">
        <is>
          <t>LRN-026</t>
        </is>
      </c>
      <c r="B30" s="22" t="inlineStr">
        <is>
          <t>2027-05-18</t>
        </is>
      </c>
      <c r="C30" s="22" t="inlineStr">
        <is>
          <t>Phase 7</t>
        </is>
      </c>
      <c r="D30" s="22" t="inlineStr">
        <is>
          <t>AI Agents</t>
        </is>
      </c>
      <c r="E30" s="20" t="inlineStr">
        <is>
          <t>State Persistence &amp; Memory Design</t>
        </is>
      </c>
      <c r="F30" s="21" t="inlineStr">
        <is>
          <t>SQLite thread memory, Summary buffers, Key-value memory</t>
        </is>
      </c>
      <c r="G30" s="21" t="inlineStr">
        <is>
          <t>Design multi-turn conversation memory that persists agent state across user restarts</t>
        </is>
      </c>
      <c r="H30" s="19" t="inlineStr">
        <is>
          <t>High</t>
        </is>
      </c>
      <c r="I30" s="21" t="inlineStr">
        <is>
          <t>LRN-025</t>
        </is>
      </c>
      <c r="J30" s="22" t="inlineStr">
        <is>
          <t>RES-020</t>
        </is>
      </c>
      <c r="K30" s="31" t="inlineStr">
        <is>
          <t>https://langchain-ai.github.io/langgraph/concepts/persistence/</t>
        </is>
      </c>
      <c r="L30" s="22" t="inlineStr">
        <is>
          <t>Doc</t>
        </is>
      </c>
      <c r="M30" s="32" t="n">
        <v>3</v>
      </c>
      <c r="N30" s="32" t="n">
        <v>0</v>
      </c>
      <c r="O30" s="33" t="n">
        <v>0</v>
      </c>
      <c r="P30" s="19" t="inlineStr">
        <is>
          <t>Not Started</t>
        </is>
      </c>
      <c r="Q30" s="22" t="n">
        <v>2</v>
      </c>
      <c r="R30" s="33" t="n"/>
      <c r="S30" s="22" t="inlineStr">
        <is>
          <t>No</t>
        </is>
      </c>
      <c r="T30" s="34" t="inlineStr"/>
      <c r="U30" s="21" t="inlineStr"/>
      <c r="V30" s="21" t="inlineStr"/>
      <c r="W30" s="21" t="inlineStr">
        <is>
          <t>Save and resume multi-turn sales conversation thread from SQLite database</t>
        </is>
      </c>
      <c r="X30" s="22" t="inlineStr">
        <is>
          <t>2027-05-24</t>
        </is>
      </c>
      <c r="Y30" s="22" t="inlineStr"/>
    </row>
    <row r="31" ht="24" customHeight="1">
      <c r="A31" s="14" t="inlineStr">
        <is>
          <t>LRN-027</t>
        </is>
      </c>
      <c r="B31" s="17" t="inlineStr">
        <is>
          <t>2027-06-02</t>
        </is>
      </c>
      <c r="C31" s="17" t="inlineStr">
        <is>
          <t>Phase 8</t>
        </is>
      </c>
      <c r="D31" s="17" t="inlineStr">
        <is>
          <t>Agent Systems</t>
        </is>
      </c>
      <c r="E31" s="15" t="inlineStr">
        <is>
          <t>State Graphs with LangGraph</t>
        </is>
      </c>
      <c r="F31" s="16" t="inlineStr">
        <is>
          <t>StateGraph, Nodes, Edges, Conditional branches</t>
        </is>
      </c>
      <c r="G31" s="16" t="inlineStr">
        <is>
          <t>Model non-linear business workflows with explicit routing, state updates, and branching</t>
        </is>
      </c>
      <c r="H31" s="14" t="inlineStr">
        <is>
          <t>High</t>
        </is>
      </c>
      <c r="I31" s="16" t="inlineStr">
        <is>
          <t>LRN-026</t>
        </is>
      </c>
      <c r="J31" s="17" t="inlineStr">
        <is>
          <t>RES-020</t>
        </is>
      </c>
      <c r="K31" s="27" t="inlineStr">
        <is>
          <t>https://langchain-ai.github.io/langgraph/</t>
        </is>
      </c>
      <c r="L31" s="17" t="inlineStr">
        <is>
          <t>Framework Doc</t>
        </is>
      </c>
      <c r="M31" s="28" t="n">
        <v>4</v>
      </c>
      <c r="N31" s="28" t="n">
        <v>0</v>
      </c>
      <c r="O31" s="29" t="n">
        <v>0</v>
      </c>
      <c r="P31" s="14" t="inlineStr">
        <is>
          <t>Not Started</t>
        </is>
      </c>
      <c r="Q31" s="17" t="n">
        <v>2</v>
      </c>
      <c r="R31" s="29" t="n"/>
      <c r="S31" s="17" t="inlineStr">
        <is>
          <t>No</t>
        </is>
      </c>
      <c r="T31" s="30" t="inlineStr"/>
      <c r="U31" s="16" t="inlineStr"/>
      <c r="V31" s="16" t="inlineStr"/>
      <c r="W31" s="16" t="inlineStr">
        <is>
          <t>Build LangGraph workflow routing inquiries to either Technical FAQ or Sales Rep</t>
        </is>
      </c>
      <c r="X31" s="17" t="inlineStr">
        <is>
          <t>2027-06-08</t>
        </is>
      </c>
      <c r="Y31" s="17" t="inlineStr"/>
    </row>
    <row r="32" ht="24" customHeight="1">
      <c r="A32" s="19" t="inlineStr">
        <is>
          <t>LRN-028</t>
        </is>
      </c>
      <c r="B32" s="22" t="inlineStr">
        <is>
          <t>2027-06-12</t>
        </is>
      </c>
      <c r="C32" s="22" t="inlineStr">
        <is>
          <t>Phase 8</t>
        </is>
      </c>
      <c r="D32" s="22" t="inlineStr">
        <is>
          <t>Agent Systems</t>
        </is>
      </c>
      <c r="E32" s="20" t="inlineStr">
        <is>
          <t>Human-in-the-Loop (HITL) Checkpoints</t>
        </is>
      </c>
      <c r="F32" s="21" t="inlineStr">
        <is>
          <t>Interrupt before tool call, Review approval, Resume state</t>
        </is>
      </c>
      <c r="G32" s="21" t="inlineStr">
        <is>
          <t>Implement safety approvals requiring human sign-off before sending discount quotes or emails</t>
        </is>
      </c>
      <c r="H32" s="19" t="inlineStr">
        <is>
          <t>High</t>
        </is>
      </c>
      <c r="I32" s="21" t="inlineStr">
        <is>
          <t>LRN-027</t>
        </is>
      </c>
      <c r="J32" s="22" t="inlineStr">
        <is>
          <t>RES-020</t>
        </is>
      </c>
      <c r="K32" s="31" t="inlineStr">
        <is>
          <t>https://langchain-ai.github.io/langgraph/concepts/human_in_the_loop/</t>
        </is>
      </c>
      <c r="L32" s="22" t="inlineStr">
        <is>
          <t>Guide</t>
        </is>
      </c>
      <c r="M32" s="32" t="n">
        <v>3.5</v>
      </c>
      <c r="N32" s="32" t="n">
        <v>0</v>
      </c>
      <c r="O32" s="33" t="n">
        <v>0</v>
      </c>
      <c r="P32" s="19" t="inlineStr">
        <is>
          <t>Not Started</t>
        </is>
      </c>
      <c r="Q32" s="22" t="n">
        <v>2</v>
      </c>
      <c r="R32" s="33" t="n"/>
      <c r="S32" s="22" t="inlineStr">
        <is>
          <t>No</t>
        </is>
      </c>
      <c r="T32" s="34" t="inlineStr"/>
      <c r="U32" s="21" t="inlineStr"/>
      <c r="V32" s="21" t="inlineStr"/>
      <c r="W32" s="21" t="inlineStr">
        <is>
          <t>Build approval queue where manager reviews discounts &gt; 15% before sending</t>
        </is>
      </c>
      <c r="X32" s="22" t="inlineStr">
        <is>
          <t>2027-06-18</t>
        </is>
      </c>
      <c r="Y32" s="22" t="inlineStr"/>
    </row>
    <row r="33" ht="24" customHeight="1">
      <c r="A33" s="14" t="inlineStr">
        <is>
          <t>LRN-029</t>
        </is>
      </c>
      <c r="B33" s="17" t="inlineStr">
        <is>
          <t>2027-06-20</t>
        </is>
      </c>
      <c r="C33" s="17" t="inlineStr">
        <is>
          <t>Phase 8</t>
        </is>
      </c>
      <c r="D33" s="17" t="inlineStr">
        <is>
          <t>Agent Systems</t>
        </is>
      </c>
      <c r="E33" s="15" t="inlineStr">
        <is>
          <t>Multi-Agent Collaboration with CrewAI</t>
        </is>
      </c>
      <c r="F33" s="16" t="inlineStr">
        <is>
          <t>Role playing, Task delegation, Shared memory, Manager agent</t>
        </is>
      </c>
      <c r="G33" s="16" t="inlineStr">
        <is>
          <t>Orchestrate collaborative agent teams (Lead Researcher, Copywriter, Compliance Officer)</t>
        </is>
      </c>
      <c r="H33" s="14" t="inlineStr">
        <is>
          <t>Medium</t>
        </is>
      </c>
      <c r="I33" s="16" t="inlineStr">
        <is>
          <t>LRN-027</t>
        </is>
      </c>
      <c r="J33" s="17" t="inlineStr">
        <is>
          <t>RES-021</t>
        </is>
      </c>
      <c r="K33" s="27" t="inlineStr">
        <is>
          <t>https://docs.crewai.com/</t>
        </is>
      </c>
      <c r="L33" s="17" t="inlineStr">
        <is>
          <t>Documentation</t>
        </is>
      </c>
      <c r="M33" s="28" t="n">
        <v>3</v>
      </c>
      <c r="N33" s="28" t="n">
        <v>0</v>
      </c>
      <c r="O33" s="29" t="n">
        <v>0</v>
      </c>
      <c r="P33" s="14" t="inlineStr">
        <is>
          <t>Not Started</t>
        </is>
      </c>
      <c r="Q33" s="17" t="n">
        <v>2</v>
      </c>
      <c r="R33" s="29" t="n"/>
      <c r="S33" s="17" t="inlineStr">
        <is>
          <t>No</t>
        </is>
      </c>
      <c r="T33" s="30" t="inlineStr"/>
      <c r="U33" s="16" t="inlineStr"/>
      <c r="V33" s="16" t="inlineStr"/>
      <c r="W33" s="16" t="inlineStr">
        <is>
          <t>Build 3-agent SDR team researching company website and drafting custom pitch</t>
        </is>
      </c>
      <c r="X33" s="17" t="inlineStr">
        <is>
          <t>2027-06-26</t>
        </is>
      </c>
      <c r="Y33" s="17" t="inlineStr"/>
    </row>
    <row r="34" ht="24" customHeight="1">
      <c r="A34" s="19" t="inlineStr">
        <is>
          <t>LRN-030</t>
        </is>
      </c>
      <c r="B34" s="22" t="inlineStr">
        <is>
          <t>2027-07-02</t>
        </is>
      </c>
      <c r="C34" s="22" t="inlineStr">
        <is>
          <t>Phase 9</t>
        </is>
      </c>
      <c r="D34" s="22" t="inlineStr">
        <is>
          <t>Sales Agent</t>
        </is>
      </c>
      <c r="E34" s="20" t="inlineStr">
        <is>
          <t>BANT Lead Qualification Engine</t>
        </is>
      </c>
      <c r="F34" s="21" t="inlineStr">
        <is>
          <t>Budget, Authority, Need, Timing scoring algorithm</t>
        </is>
      </c>
      <c r="G34" s="21" t="inlineStr">
        <is>
          <t>Build deterministic lead scoring logic that extracts qualifying signals from chat history</t>
        </is>
      </c>
      <c r="H34" s="19" t="inlineStr">
        <is>
          <t>High</t>
        </is>
      </c>
      <c r="I34" s="21" t="inlineStr">
        <is>
          <t>LRN-017, LRN-027</t>
        </is>
      </c>
      <c r="J34" s="22" t="inlineStr">
        <is>
          <t>RES-020</t>
        </is>
      </c>
      <c r="K34" s="31" t="inlineStr">
        <is>
          <t>https://langchain-ai.github.io/langgraph/</t>
        </is>
      </c>
      <c r="L34" s="22" t="inlineStr">
        <is>
          <t>Architecture Doc</t>
        </is>
      </c>
      <c r="M34" s="32" t="n">
        <v>4</v>
      </c>
      <c r="N34" s="32" t="n">
        <v>0</v>
      </c>
      <c r="O34" s="33" t="n">
        <v>0</v>
      </c>
      <c r="P34" s="19" t="inlineStr">
        <is>
          <t>Not Started</t>
        </is>
      </c>
      <c r="Q34" s="22" t="n">
        <v>2</v>
      </c>
      <c r="R34" s="33" t="n"/>
      <c r="S34" s="22" t="inlineStr">
        <is>
          <t>No</t>
        </is>
      </c>
      <c r="T34" s="34" t="inlineStr"/>
      <c r="U34" s="21" t="inlineStr"/>
      <c r="V34" s="21" t="inlineStr"/>
      <c r="W34" s="21" t="inlineStr">
        <is>
          <t>Code Python scoring engine that rates leads 0-100 based on BANT answers</t>
        </is>
      </c>
      <c r="X34" s="22" t="inlineStr">
        <is>
          <t>2027-07-08</t>
        </is>
      </c>
      <c r="Y34" s="22" t="inlineStr"/>
    </row>
    <row r="35" ht="24" customHeight="1">
      <c r="A35" s="14" t="inlineStr">
        <is>
          <t>LRN-031</t>
        </is>
      </c>
      <c r="B35" s="17" t="inlineStr">
        <is>
          <t>2027-07-12</t>
        </is>
      </c>
      <c r="C35" s="17" t="inlineStr">
        <is>
          <t>Phase 9</t>
        </is>
      </c>
      <c r="D35" s="17" t="inlineStr">
        <is>
          <t>Sales Agent</t>
        </is>
      </c>
      <c r="E35" s="15" t="inlineStr">
        <is>
          <t>Omnichannel Integration (WhatsApp &amp; Email)</t>
        </is>
      </c>
      <c r="F35" s="16" t="inlineStr">
        <is>
          <t>WhatsApp Cloud API, SendGrid API, Webhooks</t>
        </is>
      </c>
      <c r="G35" s="16" t="inlineStr">
        <is>
          <t>Connect agent graph to incoming webhooks to conduct real-time conversations on WhatsApp</t>
        </is>
      </c>
      <c r="H35" s="14" t="inlineStr">
        <is>
          <t>High</t>
        </is>
      </c>
      <c r="I35" s="16" t="inlineStr">
        <is>
          <t>LRN-002, LRN-027</t>
        </is>
      </c>
      <c r="J35" s="17" t="inlineStr">
        <is>
          <t>RES-022</t>
        </is>
      </c>
      <c r="K35" s="27" t="inlineStr">
        <is>
          <t>https://developers.facebook.com/docs/whatsapp/cloud-api/</t>
        </is>
      </c>
      <c r="L35" s="17" t="inlineStr">
        <is>
          <t>API Reference</t>
        </is>
      </c>
      <c r="M35" s="28" t="n">
        <v>4.5</v>
      </c>
      <c r="N35" s="28" t="n">
        <v>0</v>
      </c>
      <c r="O35" s="29" t="n">
        <v>0</v>
      </c>
      <c r="P35" s="14" t="inlineStr">
        <is>
          <t>Not Started</t>
        </is>
      </c>
      <c r="Q35" s="17" t="n">
        <v>2</v>
      </c>
      <c r="R35" s="29" t="n"/>
      <c r="S35" s="17" t="inlineStr">
        <is>
          <t>No</t>
        </is>
      </c>
      <c r="T35" s="30" t="inlineStr"/>
      <c r="U35" s="16" t="inlineStr"/>
      <c r="V35" s="16" t="inlineStr"/>
      <c r="W35" s="16" t="inlineStr">
        <is>
          <t>Deploy FastAPI webhook receiving WhatsApp messages and returning agent responses</t>
        </is>
      </c>
      <c r="X35" s="17" t="inlineStr">
        <is>
          <t>2027-07-20</t>
        </is>
      </c>
      <c r="Y35" s="17" t="inlineStr"/>
    </row>
    <row r="36" ht="24" customHeight="1">
      <c r="A36" s="19" t="inlineStr">
        <is>
          <t>LRN-032</t>
        </is>
      </c>
      <c r="B36" s="22" t="inlineStr">
        <is>
          <t>2027-07-24</t>
        </is>
      </c>
      <c r="C36" s="22" t="inlineStr">
        <is>
          <t>Phase 9</t>
        </is>
      </c>
      <c r="D36" s="22" t="inlineStr">
        <is>
          <t>Sales Agent</t>
        </is>
      </c>
      <c r="E36" s="20" t="inlineStr">
        <is>
          <t>Automated PDF Quotation Generator</t>
        </is>
      </c>
      <c r="F36" s="21" t="inlineStr">
        <is>
          <t>ReportLab, Jinja2 PDF templates, Stripe payment links</t>
        </is>
      </c>
      <c r="G36" s="21" t="inlineStr">
        <is>
          <t>Equip agent with tool generating formal branded PDF sales quotes with dynamic line items</t>
        </is>
      </c>
      <c r="H36" s="19" t="inlineStr">
        <is>
          <t>High</t>
        </is>
      </c>
      <c r="I36" s="21" t="inlineStr">
        <is>
          <t>LRN-024</t>
        </is>
      </c>
      <c r="J36" s="22" t="inlineStr">
        <is>
          <t>RES-017</t>
        </is>
      </c>
      <c r="K36" s="31" t="inlineStr">
        <is>
          <t>https://www.reportlab.com/docs/reportlab-userguide.pdf</t>
        </is>
      </c>
      <c r="L36" s="22" t="inlineStr">
        <is>
          <t>Library Guide</t>
        </is>
      </c>
      <c r="M36" s="32" t="n">
        <v>3.5</v>
      </c>
      <c r="N36" s="32" t="n">
        <v>0</v>
      </c>
      <c r="O36" s="33" t="n">
        <v>0</v>
      </c>
      <c r="P36" s="19" t="inlineStr">
        <is>
          <t>Not Started</t>
        </is>
      </c>
      <c r="Q36" s="22" t="n">
        <v>3</v>
      </c>
      <c r="R36" s="33" t="n"/>
      <c r="S36" s="22" t="inlineStr">
        <is>
          <t>No</t>
        </is>
      </c>
      <c r="T36" s="34" t="inlineStr"/>
      <c r="U36" s="21" t="inlineStr"/>
      <c r="V36" s="21" t="inlineStr"/>
      <c r="W36" s="21" t="inlineStr">
        <is>
          <t>Agent generates validated PDF quote with price and terms and sends via email tool</t>
        </is>
      </c>
      <c r="X36" s="22" t="inlineStr">
        <is>
          <t>2027-08-01</t>
        </is>
      </c>
      <c r="Y36" s="22" t="inlineStr"/>
    </row>
    <row r="37" ht="24" customHeight="1">
      <c r="A37" s="14" t="inlineStr">
        <is>
          <t>LRN-033</t>
        </is>
      </c>
      <c r="B37" s="17" t="inlineStr">
        <is>
          <t>2027-08-18</t>
        </is>
      </c>
      <c r="C37" s="17" t="inlineStr">
        <is>
          <t>Phase 10</t>
        </is>
      </c>
      <c r="D37" s="17" t="inlineStr">
        <is>
          <t>Fine-Tuning</t>
        </is>
      </c>
      <c r="E37" s="15" t="inlineStr">
        <is>
          <t>Dataset Preparation for Sales Dialogue</t>
        </is>
      </c>
      <c r="F37" s="16" t="inlineStr">
        <is>
          <t>JSONL format, ChatML, Objection-handling pairs</t>
        </is>
      </c>
      <c r="G37" s="16" t="inlineStr">
        <is>
          <t>Prepare high-quality curated dataset of 300+ sales objection handling dialogues</t>
        </is>
      </c>
      <c r="H37" s="14" t="inlineStr">
        <is>
          <t>High</t>
        </is>
      </c>
      <c r="I37" s="16" t="inlineStr">
        <is>
          <t>LRN-001, LRN-017</t>
        </is>
      </c>
      <c r="J37" s="17" t="inlineStr">
        <is>
          <t>RES-011</t>
        </is>
      </c>
      <c r="K37" s="27" t="inlineStr">
        <is>
          <t>https://huggingface.co/docs/trl/index</t>
        </is>
      </c>
      <c r="L37" s="17" t="inlineStr">
        <is>
          <t>Hands-on Lab</t>
        </is>
      </c>
      <c r="M37" s="28" t="n">
        <v>3</v>
      </c>
      <c r="N37" s="28" t="n">
        <v>0</v>
      </c>
      <c r="O37" s="29" t="n">
        <v>0</v>
      </c>
      <c r="P37" s="14" t="inlineStr">
        <is>
          <t>Not Started</t>
        </is>
      </c>
      <c r="Q37" s="17" t="n">
        <v>2</v>
      </c>
      <c r="R37" s="29" t="n"/>
      <c r="S37" s="17" t="inlineStr">
        <is>
          <t>No</t>
        </is>
      </c>
      <c r="T37" s="30" t="inlineStr"/>
      <c r="U37" s="16" t="inlineStr"/>
      <c r="V37" s="16" t="inlineStr"/>
      <c r="W37" s="16" t="inlineStr">
        <is>
          <t>Validate dataset schema and split into 80/20 train/eval JSONL files</t>
        </is>
      </c>
      <c r="X37" s="17" t="inlineStr">
        <is>
          <t>2027-08-24</t>
        </is>
      </c>
      <c r="Y37" s="17" t="inlineStr"/>
    </row>
    <row r="38" ht="24" customHeight="1">
      <c r="A38" s="19" t="inlineStr">
        <is>
          <t>LRN-034</t>
        </is>
      </c>
      <c r="B38" s="22" t="inlineStr">
        <is>
          <t>2027-08-26</t>
        </is>
      </c>
      <c r="C38" s="22" t="inlineStr">
        <is>
          <t>Phase 10</t>
        </is>
      </c>
      <c r="D38" s="22" t="inlineStr">
        <is>
          <t>Fine-Tuning</t>
        </is>
      </c>
      <c r="E38" s="20" t="inlineStr">
        <is>
          <t>LoRA / QLoRA with Unsloth / TRL</t>
        </is>
      </c>
      <c r="F38" s="21" t="inlineStr">
        <is>
          <t>Rank r, Alpha, LoRA target modules, 4-bit quantization</t>
        </is>
      </c>
      <c r="G38" s="21" t="inlineStr">
        <is>
          <t>Fine-tune Llama-3-8B on sales objection dataset with minimal VRAM on cloud GPU</t>
        </is>
      </c>
      <c r="H38" s="19" t="inlineStr">
        <is>
          <t>High</t>
        </is>
      </c>
      <c r="I38" s="21" t="inlineStr">
        <is>
          <t>LRN-016, LRN-033</t>
        </is>
      </c>
      <c r="J38" s="22" t="inlineStr">
        <is>
          <t>RES-011</t>
        </is>
      </c>
      <c r="K38" s="31" t="inlineStr">
        <is>
          <t>https://github.com/unslothai/unsloth</t>
        </is>
      </c>
      <c r="L38" s="22" t="inlineStr">
        <is>
          <t>Tutorial</t>
        </is>
      </c>
      <c r="M38" s="32" t="n">
        <v>4</v>
      </c>
      <c r="N38" s="32" t="n">
        <v>0</v>
      </c>
      <c r="O38" s="33" t="n">
        <v>0</v>
      </c>
      <c r="P38" s="19" t="inlineStr">
        <is>
          <t>Not Started</t>
        </is>
      </c>
      <c r="Q38" s="22" t="n">
        <v>1</v>
      </c>
      <c r="R38" s="33" t="n"/>
      <c r="S38" s="22" t="inlineStr">
        <is>
          <t>No</t>
        </is>
      </c>
      <c r="T38" s="34" t="inlineStr"/>
      <c r="U38" s="21" t="inlineStr"/>
      <c r="V38" s="21" t="inlineStr"/>
      <c r="W38" s="21" t="inlineStr">
        <is>
          <t>Run QLoRA training run and plot training loss convergence curve</t>
        </is>
      </c>
      <c r="X38" s="22" t="inlineStr">
        <is>
          <t>2027-09-02</t>
        </is>
      </c>
      <c r="Y38" s="22" t="inlineStr"/>
    </row>
    <row r="39" ht="24" customHeight="1">
      <c r="A39" s="14" t="inlineStr">
        <is>
          <t>LRN-035</t>
        </is>
      </c>
      <c r="B39" s="17" t="inlineStr">
        <is>
          <t>2027-09-18</t>
        </is>
      </c>
      <c r="C39" s="17" t="inlineStr">
        <is>
          <t>Phase 11</t>
        </is>
      </c>
      <c r="D39" s="17" t="inlineStr">
        <is>
          <t>Production</t>
        </is>
      </c>
      <c r="E39" s="15" t="inlineStr">
        <is>
          <t>Docker Containerization &amp; Compose</t>
        </is>
      </c>
      <c r="F39" s="16" t="inlineStr">
        <is>
          <t>Dockerfile, multi-stage builds, docker-compose.yml</t>
        </is>
      </c>
      <c r="G39" s="16" t="inlineStr">
        <is>
          <t>Containerize FastAPI agent backend, PostgreSQL database, and Redis background queues</t>
        </is>
      </c>
      <c r="H39" s="14" t="inlineStr">
        <is>
          <t>High</t>
        </is>
      </c>
      <c r="I39" s="16" t="inlineStr">
        <is>
          <t>Linux, LRN-002</t>
        </is>
      </c>
      <c r="J39" s="17" t="inlineStr">
        <is>
          <t>RES-024</t>
        </is>
      </c>
      <c r="K39" s="27" t="inlineStr">
        <is>
          <t>https://docs.docker.com/compose/</t>
        </is>
      </c>
      <c r="L39" s="17" t="inlineStr">
        <is>
          <t>Official Doc</t>
        </is>
      </c>
      <c r="M39" s="28" t="n">
        <v>3.5</v>
      </c>
      <c r="N39" s="28" t="n">
        <v>0</v>
      </c>
      <c r="O39" s="29" t="n">
        <v>0</v>
      </c>
      <c r="P39" s="14" t="inlineStr">
        <is>
          <t>Not Started</t>
        </is>
      </c>
      <c r="Q39" s="17" t="n">
        <v>2</v>
      </c>
      <c r="R39" s="29" t="n"/>
      <c r="S39" s="17" t="inlineStr">
        <is>
          <t>No</t>
        </is>
      </c>
      <c r="T39" s="30" t="inlineStr"/>
      <c r="U39" s="16" t="inlineStr"/>
      <c r="V39" s="16" t="inlineStr"/>
      <c r="W39" s="16" t="inlineStr">
        <is>
          <t>Run full multi-container agent stack with single `docker-compose up` command</t>
        </is>
      </c>
      <c r="X39" s="17" t="inlineStr">
        <is>
          <t>2027-09-24</t>
        </is>
      </c>
      <c r="Y39" s="17" t="inlineStr"/>
    </row>
    <row r="40" ht="24" customHeight="1">
      <c r="A40" s="19" t="inlineStr">
        <is>
          <t>LRN-036</t>
        </is>
      </c>
      <c r="B40" s="22" t="inlineStr">
        <is>
          <t>2027-09-28</t>
        </is>
      </c>
      <c r="C40" s="22" t="inlineStr">
        <is>
          <t>Phase 11</t>
        </is>
      </c>
      <c r="D40" s="22" t="inlineStr">
        <is>
          <t>Production</t>
        </is>
      </c>
      <c r="E40" s="20" t="inlineStr">
        <is>
          <t>LLM Security &amp; OWASP Defense</t>
        </is>
      </c>
      <c r="F40" s="21" t="inlineStr">
        <is>
          <t>Prompt injection defenses, Data leakage, Rate limiting</t>
        </is>
      </c>
      <c r="G40" s="21" t="inlineStr">
        <is>
          <t>Harden sales agent against adversarial system prompt extraction and unauthorized behavior</t>
        </is>
      </c>
      <c r="H40" s="19" t="inlineStr">
        <is>
          <t>High</t>
        </is>
      </c>
      <c r="I40" s="21" t="inlineStr">
        <is>
          <t>LRN-018, LRN-024</t>
        </is>
      </c>
      <c r="J40" s="22" t="inlineStr">
        <is>
          <t>RES-025</t>
        </is>
      </c>
      <c r="K40" s="31" t="inlineStr">
        <is>
          <t>https://owasp.org/www-project-top-10-for-large-language-model-applications/</t>
        </is>
      </c>
      <c r="L40" s="22" t="inlineStr">
        <is>
          <t>Security Guide</t>
        </is>
      </c>
      <c r="M40" s="32" t="n">
        <v>3</v>
      </c>
      <c r="N40" s="32" t="n">
        <v>0</v>
      </c>
      <c r="O40" s="33" t="n">
        <v>0</v>
      </c>
      <c r="P40" s="19" t="inlineStr">
        <is>
          <t>Not Started</t>
        </is>
      </c>
      <c r="Q40" s="22" t="n">
        <v>2</v>
      </c>
      <c r="R40" s="33" t="n"/>
      <c r="S40" s="22" t="inlineStr">
        <is>
          <t>No</t>
        </is>
      </c>
      <c r="T40" s="34" t="inlineStr"/>
      <c r="U40" s="21" t="inlineStr"/>
      <c r="V40" s="21" t="inlineStr"/>
      <c r="W40" s="21" t="inlineStr">
        <is>
          <t>Implement input sanitizer filter and automated test suite testing 20 injection attacks</t>
        </is>
      </c>
      <c r="X40" s="22" t="inlineStr">
        <is>
          <t>2027-10-05</t>
        </is>
      </c>
      <c r="Y40" s="22" t="inlineStr"/>
    </row>
    <row r="41" ht="24" customHeight="1">
      <c r="A41" s="24" t="inlineStr">
        <is>
          <t>TOTAL LOGGED HOURS</t>
        </is>
      </c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35">
        <f>SUM(M5:M40)</f>
        <v/>
      </c>
      <c r="N41" s="35">
        <f>SUM(N5:N40)</f>
        <v/>
      </c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</row>
  </sheetData>
  <autoFilter ref="A4:Y40"/>
  <mergeCells count="1">
    <mergeCell ref="A41:L41"/>
  </mergeCells>
  <dataValidations count="4">
    <dataValidation sqref="P5:P40" showDropDown="0" showInputMessage="0" showErrorMessage="0" allowBlank="1" type="list">
      <formula1>"Not Started,In Progress,Blocked,Review,Completed,Skipped"</formula1>
    </dataValidation>
    <dataValidation sqref="H5:H40" showDropDown="0" showInputMessage="0" showErrorMessage="0" allowBlank="1" type="list">
      <formula1>"High,Medium,Low"</formula1>
    </dataValidation>
    <dataValidation sqref="S5:S40" showDropDown="0" showInputMessage="0" showErrorMessage="0" allowBlank="1" type="list">
      <formula1>"Yes,No"</formula1>
    </dataValidation>
    <dataValidation sqref="Q5:Q4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5" customWidth="1" min="4" max="4"/>
    <col width="16" customWidth="1" min="5" max="5"/>
    <col width="16" customWidth="1" min="6" max="6"/>
    <col width="14" customWidth="1" min="7" max="7"/>
    <col width="18" customWidth="1" min="8" max="8"/>
    <col width="14" customWidth="1" min="9" max="9"/>
    <col width="12" customWidth="1" min="10" max="10"/>
    <col width="14" customWidth="1" min="11" max="11"/>
    <col width="13" customWidth="1" min="12" max="12"/>
    <col width="28" customWidth="1" min="13" max="13"/>
    <col width="28" customWidth="1" min="14" max="14"/>
    <col width="14" customWidth="1" min="15" max="15"/>
    <col width="25" customWidth="1" min="16" max="16"/>
  </cols>
  <sheetData>
    <row r="1" ht="24" customHeight="1">
      <c r="A1" s="12" t="inlineStr">
        <is>
          <t>CURATED OFFICIAL &amp; AUTHORITATIVE AI/ML RESOURCES</t>
        </is>
      </c>
    </row>
    <row r="2" ht="18" customHeight="1">
      <c r="A2" s="2" t="inlineStr">
        <is>
          <t>Verified Official Documentation, Cookbooks, Courses &amp; Research Guides from Google, OpenAI, Meta, Hugging Face, PyTorch, and Leading Frameworks</t>
        </is>
      </c>
    </row>
    <row r="4" ht="28" customHeight="1">
      <c r="A4" s="13" t="inlineStr">
        <is>
          <t>Resource ID</t>
        </is>
      </c>
      <c r="B4" s="13" t="inlineStr">
        <is>
          <t>Organization</t>
        </is>
      </c>
      <c r="C4" s="13" t="inlineStr">
        <is>
          <t>Resource Title</t>
        </is>
      </c>
      <c r="D4" s="13" t="inlineStr">
        <is>
          <t>Official URL</t>
        </is>
      </c>
      <c r="E4" s="13" t="inlineStr">
        <is>
          <t>Learning Category</t>
        </is>
      </c>
      <c r="F4" s="13" t="inlineStr">
        <is>
          <t>Resource Type</t>
        </is>
      </c>
      <c r="G4" s="13" t="inlineStr">
        <is>
          <t>Level</t>
        </is>
      </c>
      <c r="H4" s="13" t="inlineStr">
        <is>
          <t>Prerequisites</t>
        </is>
      </c>
      <c r="I4" s="13" t="inlineStr">
        <is>
          <t>Recommended Phase</t>
        </is>
      </c>
      <c r="J4" s="13" t="inlineStr">
        <is>
          <t>Estimated Duration (hrs)</t>
        </is>
      </c>
      <c r="K4" s="13" t="inlineStr">
        <is>
          <t>Free / Paid Status</t>
        </is>
      </c>
      <c r="L4" s="13" t="inlineStr">
        <is>
          <t>Importance</t>
        </is>
      </c>
      <c r="M4" s="13" t="inlineStr">
        <is>
          <t>Learning Objectives</t>
        </is>
      </c>
      <c r="N4" s="13" t="inlineStr">
        <is>
          <t>Practical Exercise</t>
        </is>
      </c>
      <c r="O4" s="13" t="inlineStr">
        <is>
          <t>Completion Status</t>
        </is>
      </c>
      <c r="P4" s="13" t="inlineStr">
        <is>
          <t>Notes</t>
        </is>
      </c>
    </row>
    <row r="5" ht="26" customHeight="1">
      <c r="A5" s="14" t="inlineStr">
        <is>
          <t>RES-001</t>
        </is>
      </c>
      <c r="B5" s="14" t="inlineStr">
        <is>
          <t>Google</t>
        </is>
      </c>
      <c r="C5" s="15" t="inlineStr">
        <is>
          <t>Google Machine Learning Crash Course</t>
        </is>
      </c>
      <c r="D5" s="27" t="inlineStr">
        <is>
          <t>https://developers.google.com/machine-learning/crash-course</t>
        </is>
      </c>
      <c r="E5" s="17" t="inlineStr">
        <is>
          <t>Machine Learning</t>
        </is>
      </c>
      <c r="F5" s="17" t="inlineStr">
        <is>
          <t>Course / Interactive</t>
        </is>
      </c>
      <c r="G5" s="17" t="inlineStr">
        <is>
          <t>Beginner</t>
        </is>
      </c>
      <c r="H5" s="16" t="inlineStr">
        <is>
          <t>Python basics</t>
        </is>
      </c>
      <c r="I5" s="17" t="inlineStr">
        <is>
          <t>Phase 2</t>
        </is>
      </c>
      <c r="J5" s="36" t="n">
        <v>15</v>
      </c>
      <c r="K5" s="14" t="inlineStr">
        <is>
          <t>Free</t>
        </is>
      </c>
      <c r="L5" s="14" t="inlineStr">
        <is>
          <t>Essential</t>
        </is>
      </c>
      <c r="M5" s="16" t="inlineStr">
        <is>
          <t>Learn foundational ML concepts, gradient descent, loss functions, classification, and neural network intuitions.</t>
        </is>
      </c>
      <c r="N5" s="16" t="inlineStr">
        <is>
          <t>Complete all embedded Colab exercises and model tuning tasks.</t>
        </is>
      </c>
      <c r="O5" s="14" t="inlineStr">
        <is>
          <t>Not Started</t>
        </is>
      </c>
      <c r="P5" s="16" t="inlineStr">
        <is>
          <t>Excellent visual explanations and interactive TensorFlow/Keras widgets.</t>
        </is>
      </c>
    </row>
    <row r="6" ht="26" customHeight="1">
      <c r="A6" s="19" t="inlineStr">
        <is>
          <t>RES-002</t>
        </is>
      </c>
      <c r="B6" s="19" t="inlineStr">
        <is>
          <t>Google</t>
        </is>
      </c>
      <c r="C6" s="20" t="inlineStr">
        <is>
          <t>Google Foundational ML &amp; Data Prep Courses</t>
        </is>
      </c>
      <c r="D6" s="31" t="inlineStr">
        <is>
          <t>https://developers.google.com/machine-learning/data-prep</t>
        </is>
      </c>
      <c r="E6" s="22" t="inlineStr">
        <is>
          <t>Data Engineering</t>
        </is>
      </c>
      <c r="F6" s="22" t="inlineStr">
        <is>
          <t>Course / Guide</t>
        </is>
      </c>
      <c r="G6" s="22" t="inlineStr">
        <is>
          <t>Beginner to Intermediate</t>
        </is>
      </c>
      <c r="H6" s="21" t="inlineStr">
        <is>
          <t>Python, Statistics</t>
        </is>
      </c>
      <c r="I6" s="22" t="inlineStr">
        <is>
          <t>Phase 2</t>
        </is>
      </c>
      <c r="J6" s="37" t="n">
        <v>10</v>
      </c>
      <c r="K6" s="19" t="inlineStr">
        <is>
          <t>Free</t>
        </is>
      </c>
      <c r="L6" s="19" t="inlineStr">
        <is>
          <t>Recommended</t>
        </is>
      </c>
      <c r="M6" s="21" t="inlineStr">
        <is>
          <t>Master data transformation, feature scaling, numerical bucketing, categorical encoding, and handling missing values.</t>
        </is>
      </c>
      <c r="N6" s="21" t="inlineStr">
        <is>
          <t>Clean an uncurated customer dataset and transform features for regression modeling.</t>
        </is>
      </c>
      <c r="O6" s="19" t="inlineStr">
        <is>
          <t>Not Started</t>
        </is>
      </c>
      <c r="P6" s="21" t="inlineStr">
        <is>
          <t>Official Google guidance on real-world ML data hygiene.</t>
        </is>
      </c>
    </row>
    <row r="7" ht="26" customHeight="1">
      <c r="A7" s="14" t="inlineStr">
        <is>
          <t>RES-003</t>
        </is>
      </c>
      <c r="B7" s="14" t="inlineStr">
        <is>
          <t>Google</t>
        </is>
      </c>
      <c r="C7" s="15" t="inlineStr">
        <is>
          <t>Google Gemini API Documentation</t>
        </is>
      </c>
      <c r="D7" s="27" t="inlineStr">
        <is>
          <t>https://ai.google.dev/docs</t>
        </is>
      </c>
      <c r="E7" s="17" t="inlineStr">
        <is>
          <t>LLM APIs</t>
        </is>
      </c>
      <c r="F7" s="17" t="inlineStr">
        <is>
          <t>Official Documentation</t>
        </is>
      </c>
      <c r="G7" s="17" t="inlineStr">
        <is>
          <t>Intermediate</t>
        </is>
      </c>
      <c r="H7" s="16" t="inlineStr">
        <is>
          <t>REST APIs, Python</t>
        </is>
      </c>
      <c r="I7" s="17" t="inlineStr">
        <is>
          <t>Phase 5</t>
        </is>
      </c>
      <c r="J7" s="36" t="n">
        <v>8</v>
      </c>
      <c r="K7" s="14" t="inlineStr">
        <is>
          <t>Free / Freemium</t>
        </is>
      </c>
      <c r="L7" s="14" t="inlineStr">
        <is>
          <t>Essential</t>
        </is>
      </c>
      <c r="M7" s="16" t="inlineStr">
        <is>
          <t>Learn Gemini model families (Flash, Pro), multimodal inputs, system instructions, safety settings, and token limits.</t>
        </is>
      </c>
      <c r="N7" s="16" t="inlineStr">
        <is>
          <t>Build a Python client calling Gemini-1.5-Flash with custom safety thresholds and system prompt.</t>
        </is>
      </c>
      <c r="O7" s="14" t="inlineStr">
        <is>
          <t>Not Started</t>
        </is>
      </c>
      <c r="P7" s="16" t="inlineStr">
        <is>
          <t>Free tier offers generous rate limits for rapid prototyping.</t>
        </is>
      </c>
    </row>
    <row r="8" ht="26" customHeight="1">
      <c r="A8" s="19" t="inlineStr">
        <is>
          <t>RES-004</t>
        </is>
      </c>
      <c r="B8" s="19" t="inlineStr">
        <is>
          <t>Google</t>
        </is>
      </c>
      <c r="C8" s="20" t="inlineStr">
        <is>
          <t>Google Gemini API Cookbook</t>
        </is>
      </c>
      <c r="D8" s="31" t="inlineStr">
        <is>
          <t>https://github.com/google-gemini/cookbook</t>
        </is>
      </c>
      <c r="E8" s="22" t="inlineStr">
        <is>
          <t>LLM Applications</t>
        </is>
      </c>
      <c r="F8" s="22" t="inlineStr">
        <is>
          <t>Repository / Cookbook</t>
        </is>
      </c>
      <c r="G8" s="22" t="inlineStr">
        <is>
          <t>Intermediate</t>
        </is>
      </c>
      <c r="H8" s="21" t="inlineStr">
        <is>
          <t>Python, Gemini API</t>
        </is>
      </c>
      <c r="I8" s="22" t="inlineStr">
        <is>
          <t>Phase 5 &amp; 6</t>
        </is>
      </c>
      <c r="J8" s="37" t="n">
        <v>12</v>
      </c>
      <c r="K8" s="19" t="inlineStr">
        <is>
          <t>Free</t>
        </is>
      </c>
      <c r="L8" s="19" t="inlineStr">
        <is>
          <t>Essential</t>
        </is>
      </c>
      <c r="M8" s="21" t="inlineStr">
        <is>
          <t>Practical recipe code for RAG, function calling, structured extraction, audio/video analysis, and document reasoning.</t>
        </is>
      </c>
      <c r="N8" s="21" t="inlineStr">
        <is>
          <t>Implement the official function calling and structured JSON output notebook recipes.</t>
        </is>
      </c>
      <c r="O8" s="19" t="inlineStr">
        <is>
          <t>Not Started</t>
        </is>
      </c>
      <c r="P8" s="21" t="inlineStr">
        <is>
          <t>Maintained directly by Google AI Developer Relations.</t>
        </is>
      </c>
    </row>
    <row r="9" ht="26" customHeight="1">
      <c r="A9" s="14" t="inlineStr">
        <is>
          <t>RES-005</t>
        </is>
      </c>
      <c r="B9" s="14" t="inlineStr">
        <is>
          <t>OpenAI</t>
        </is>
      </c>
      <c r="C9" s="15" t="inlineStr">
        <is>
          <t>OpenAI Developer Platform Documentation</t>
        </is>
      </c>
      <c r="D9" s="27" t="inlineStr">
        <is>
          <t>https://platform.openai.com/docs</t>
        </is>
      </c>
      <c r="E9" s="17" t="inlineStr">
        <is>
          <t>LLM APIs</t>
        </is>
      </c>
      <c r="F9" s="17" t="inlineStr">
        <is>
          <t>Official Documentation</t>
        </is>
      </c>
      <c r="G9" s="17" t="inlineStr">
        <is>
          <t>Beginner to Intermediate</t>
        </is>
      </c>
      <c r="H9" s="16" t="inlineStr">
        <is>
          <t>REST APIs, JSON</t>
        </is>
      </c>
      <c r="I9" s="17" t="inlineStr">
        <is>
          <t>Phase 5</t>
        </is>
      </c>
      <c r="J9" s="36" t="n">
        <v>10</v>
      </c>
      <c r="K9" s="14" t="inlineStr">
        <is>
          <t>Paid API</t>
        </is>
      </c>
      <c r="L9" s="14" t="inlineStr">
        <is>
          <t>Essential</t>
        </is>
      </c>
      <c r="M9" s="16" t="inlineStr">
        <is>
          <t>Understand Chat Completions, context windows, seed parameters, role system, streaming responses, and token usage.</t>
        </is>
      </c>
      <c r="N9" s="16" t="inlineStr">
        <is>
          <t>Create multi-turn chat wrapper handling token limits and streaming outputs to terminal.</t>
        </is>
      </c>
      <c r="O9" s="14" t="inlineStr">
        <is>
          <t>Not Started</t>
        </is>
      </c>
      <c r="P9" s="16" t="inlineStr">
        <is>
          <t>The industry benchmark API standard for commercial LLM integration.</t>
        </is>
      </c>
    </row>
    <row r="10" ht="26" customHeight="1">
      <c r="A10" s="19" t="inlineStr">
        <is>
          <t>RES-006</t>
        </is>
      </c>
      <c r="B10" s="19" t="inlineStr">
        <is>
          <t>OpenAI</t>
        </is>
      </c>
      <c r="C10" s="20" t="inlineStr">
        <is>
          <t>OpenAI Function Calling Guide</t>
        </is>
      </c>
      <c r="D10" s="31" t="inlineStr">
        <is>
          <t>https://platform.openai.com/docs/guides/function-calling</t>
        </is>
      </c>
      <c r="E10" s="22" t="inlineStr">
        <is>
          <t>AI Agents</t>
        </is>
      </c>
      <c r="F10" s="22" t="inlineStr">
        <is>
          <t>Official Guide</t>
        </is>
      </c>
      <c r="G10" s="22" t="inlineStr">
        <is>
          <t>Intermediate</t>
        </is>
      </c>
      <c r="H10" s="21" t="inlineStr">
        <is>
          <t>Python, JSON Schema</t>
        </is>
      </c>
      <c r="I10" s="22" t="inlineStr">
        <is>
          <t>Phase 7</t>
        </is>
      </c>
      <c r="J10" s="37" t="n">
        <v>8</v>
      </c>
      <c r="K10" s="19" t="inlineStr">
        <is>
          <t>Paid API</t>
        </is>
      </c>
      <c r="L10" s="19" t="inlineStr">
        <is>
          <t>Essential</t>
        </is>
      </c>
      <c r="M10" s="21" t="inlineStr">
        <is>
          <t>Learn strict tool schemas, parallel tool calls, tool choice parameters, and executing function responses.</t>
        </is>
      </c>
      <c r="N10" s="21" t="inlineStr">
        <is>
          <t>Build agent with 3 simulated business tools: CRM lookup, inventory query, discount calculator.</t>
        </is>
      </c>
      <c r="O10" s="19" t="inlineStr">
        <is>
          <t>Not Started</t>
        </is>
      </c>
      <c r="P10" s="21" t="inlineStr">
        <is>
          <t>Critical foundation for all agentic workflows.</t>
        </is>
      </c>
    </row>
    <row r="11" ht="26" customHeight="1">
      <c r="A11" s="14" t="inlineStr">
        <is>
          <t>RES-007</t>
        </is>
      </c>
      <c r="B11" s="14" t="inlineStr">
        <is>
          <t>OpenAI</t>
        </is>
      </c>
      <c r="C11" s="15" t="inlineStr">
        <is>
          <t>OpenAI Structured Outputs Guide</t>
        </is>
      </c>
      <c r="D11" s="27" t="inlineStr">
        <is>
          <t>https://platform.openai.com/docs/guides/structured-outputs</t>
        </is>
      </c>
      <c r="E11" s="17" t="inlineStr">
        <is>
          <t>LLM Applications</t>
        </is>
      </c>
      <c r="F11" s="17" t="inlineStr">
        <is>
          <t>Official Guide</t>
        </is>
      </c>
      <c r="G11" s="17" t="inlineStr">
        <is>
          <t>Intermediate</t>
        </is>
      </c>
      <c r="H11" s="16" t="inlineStr">
        <is>
          <t>Pydantic, JSON Schema</t>
        </is>
      </c>
      <c r="I11" s="17" t="inlineStr">
        <is>
          <t>Phase 5</t>
        </is>
      </c>
      <c r="J11" s="36" t="n">
        <v>6</v>
      </c>
      <c r="K11" s="14" t="inlineStr">
        <is>
          <t>Paid API</t>
        </is>
      </c>
      <c r="L11" s="14" t="inlineStr">
        <is>
          <t>Essential</t>
        </is>
      </c>
      <c r="M11" s="16" t="inlineStr">
        <is>
          <t>Master 100% reliable schema adherence with constrained decoding and native Pydantic integration.</t>
        </is>
      </c>
      <c r="N11" s="16" t="inlineStr">
        <is>
          <t>Extract validated lead BANT qualification objects directly from messy sales call transcripts.</t>
        </is>
      </c>
      <c r="O11" s="14" t="inlineStr">
        <is>
          <t>Not Started</t>
        </is>
      </c>
      <c r="P11" s="16" t="inlineStr">
        <is>
          <t>Eliminates need for retry loops due to malformed JSON.</t>
        </is>
      </c>
    </row>
    <row r="12" ht="26" customHeight="1">
      <c r="A12" s="19" t="inlineStr">
        <is>
          <t>RES-008</t>
        </is>
      </c>
      <c r="B12" s="19" t="inlineStr">
        <is>
          <t>OpenAI</t>
        </is>
      </c>
      <c r="C12" s="20" t="inlineStr">
        <is>
          <t>OpenAI Retrieval, Evals &amp; Agent Building Guide</t>
        </is>
      </c>
      <c r="D12" s="31" t="inlineStr">
        <is>
          <t>https://platform.openai.com/docs/guides/evals</t>
        </is>
      </c>
      <c r="E12" s="22" t="inlineStr">
        <is>
          <t>Evaluation &amp; Agents</t>
        </is>
      </c>
      <c r="F12" s="22" t="inlineStr">
        <is>
          <t>Guide / Framework</t>
        </is>
      </c>
      <c r="G12" s="22" t="inlineStr">
        <is>
          <t>Advanced</t>
        </is>
      </c>
      <c r="H12" s="21" t="inlineStr">
        <is>
          <t>Python, LLM APIs</t>
        </is>
      </c>
      <c r="I12" s="22" t="inlineStr">
        <is>
          <t>Phase 7 &amp; 11</t>
        </is>
      </c>
      <c r="J12" s="37" t="n">
        <v>12</v>
      </c>
      <c r="K12" s="19" t="inlineStr">
        <is>
          <t>Free / Paid API</t>
        </is>
      </c>
      <c r="L12" s="19" t="inlineStr">
        <is>
          <t>Recommended</t>
        </is>
      </c>
      <c r="M12" s="21" t="inlineStr">
        <is>
          <t>Learn rigorous LLM evaluation methodologies, synthetic dataset creation, and agent benchmarking.</t>
        </is>
      </c>
      <c r="N12" s="21" t="inlineStr">
        <is>
          <t>Build an automated evaluation pipeline measuring sales agent response accuracy against 30 gold standards.</t>
        </is>
      </c>
      <c r="O12" s="19" t="inlineStr">
        <is>
          <t>Not Started</t>
        </is>
      </c>
      <c r="P12" s="21" t="inlineStr">
        <is>
          <t>Essential for verifying capability before selling to clients.</t>
        </is>
      </c>
    </row>
    <row r="13" ht="26" customHeight="1">
      <c r="A13" s="14" t="inlineStr">
        <is>
          <t>RES-009</t>
        </is>
      </c>
      <c r="B13" s="14" t="inlineStr">
        <is>
          <t>Meta</t>
        </is>
      </c>
      <c r="C13" s="15" t="inlineStr">
        <is>
          <t>Meta Llama Documentation &amp; Model Card</t>
        </is>
      </c>
      <c r="D13" s="27" t="inlineStr">
        <is>
          <t>https://llama.meta.com/docs</t>
        </is>
      </c>
      <c r="E13" s="17" t="inlineStr">
        <is>
          <t>Open-Weight LLMs</t>
        </is>
      </c>
      <c r="F13" s="17" t="inlineStr">
        <is>
          <t>Official Documentation</t>
        </is>
      </c>
      <c r="G13" s="17" t="inlineStr">
        <is>
          <t>Intermediate to Advanced</t>
        </is>
      </c>
      <c r="H13" s="16" t="inlineStr">
        <is>
          <t>Linux, Python</t>
        </is>
      </c>
      <c r="I13" s="17" t="inlineStr">
        <is>
          <t>Phase 4 &amp; 10</t>
        </is>
      </c>
      <c r="J13" s="36" t="n">
        <v>10</v>
      </c>
      <c r="K13" s="14" t="inlineStr">
        <is>
          <t>Free</t>
        </is>
      </c>
      <c r="L13" s="14" t="inlineStr">
        <is>
          <t>Essential</t>
        </is>
      </c>
      <c r="M13" s="16" t="inlineStr">
        <is>
          <t>Understand Llama-3 architecture, tokenizer nuances, prompt formatting, context window expansion, and licensing terms.</t>
        </is>
      </c>
      <c r="N13" s="16" t="inlineStr">
        <is>
          <t>Download and verify Llama-3-8B weights on Ubuntu Linux environment.</t>
        </is>
      </c>
      <c r="O13" s="14" t="inlineStr">
        <is>
          <t>Not Started</t>
        </is>
      </c>
      <c r="P13" s="16" t="inlineStr">
        <is>
          <t>Premier open-weight model family for local and cost-effective commercial deployment.</t>
        </is>
      </c>
    </row>
    <row r="14" ht="26" customHeight="1">
      <c r="A14" s="19" t="inlineStr">
        <is>
          <t>RES-010</t>
        </is>
      </c>
      <c r="B14" s="19" t="inlineStr">
        <is>
          <t>Meta</t>
        </is>
      </c>
      <c r="C14" s="20" t="inlineStr">
        <is>
          <t>Meta Llama Cookbook</t>
        </is>
      </c>
      <c r="D14" s="31" t="inlineStr">
        <is>
          <t>https://github.com/meta-llama/llama-cookbook</t>
        </is>
      </c>
      <c r="E14" s="22" t="inlineStr">
        <is>
          <t>LLM Engineering</t>
        </is>
      </c>
      <c r="F14" s="22" t="inlineStr">
        <is>
          <t>Repository / Cookbook</t>
        </is>
      </c>
      <c r="G14" s="22" t="inlineStr">
        <is>
          <t>Intermediate to Advanced</t>
        </is>
      </c>
      <c r="H14" s="21" t="inlineStr">
        <is>
          <t>Python, PyTorch</t>
        </is>
      </c>
      <c r="I14" s="22" t="inlineStr">
        <is>
          <t>Phase 6 &amp; 10</t>
        </is>
      </c>
      <c r="J14" s="37" t="n">
        <v>15</v>
      </c>
      <c r="K14" s="19" t="inlineStr">
        <is>
          <t>Free</t>
        </is>
      </c>
      <c r="L14" s="19" t="inlineStr">
        <is>
          <t>Essential</t>
        </is>
      </c>
      <c r="M14" s="21" t="inlineStr">
        <is>
          <t>Production code for local inference with vLLM/Ollama, fine-tuning with PEFT, synthetic data, and RAG pipelines.</t>
        </is>
      </c>
      <c r="N14" s="21" t="inlineStr">
        <is>
          <t>Run end-to-end local RAG pipeline with Llama-3-8B and ChromaDB.</t>
        </is>
      </c>
      <c r="O14" s="19" t="inlineStr">
        <is>
          <t>Not Started</t>
        </is>
      </c>
      <c r="P14" s="21" t="inlineStr">
        <is>
          <t>Official Meta repository with battle-tested engineering notebooks.</t>
        </is>
      </c>
    </row>
    <row r="15" ht="26" customHeight="1">
      <c r="A15" s="14" t="inlineStr">
        <is>
          <t>RES-011</t>
        </is>
      </c>
      <c r="B15" s="14" t="inlineStr">
        <is>
          <t>Meta</t>
        </is>
      </c>
      <c r="C15" s="15" t="inlineStr">
        <is>
          <t>Meta Llama Fine-Tuning &amp; Quantization Guide</t>
        </is>
      </c>
      <c r="D15" s="27" t="inlineStr">
        <is>
          <t>https://github.com/meta-llama/llama-recipes</t>
        </is>
      </c>
      <c r="E15" s="17" t="inlineStr">
        <is>
          <t>Fine-Tuning</t>
        </is>
      </c>
      <c r="F15" s="17" t="inlineStr">
        <is>
          <t>Cookbook / Guide</t>
        </is>
      </c>
      <c r="G15" s="17" t="inlineStr">
        <is>
          <t>Advanced</t>
        </is>
      </c>
      <c r="H15" s="16" t="inlineStr">
        <is>
          <t>PyTorch, CUDA, PEFT</t>
        </is>
      </c>
      <c r="I15" s="17" t="inlineStr">
        <is>
          <t>Phase 10</t>
        </is>
      </c>
      <c r="J15" s="36" t="n">
        <v>14</v>
      </c>
      <c r="K15" s="14" t="inlineStr">
        <is>
          <t>Free (Compute Req)</t>
        </is>
      </c>
      <c r="L15" s="14" t="inlineStr">
        <is>
          <t>Recommended</t>
        </is>
      </c>
      <c r="M15" s="16" t="inlineStr">
        <is>
          <t>Learn LoRA, QLoRA, FSDP distributed training, and quantizing Llama models for high-throughput inference.</t>
        </is>
      </c>
      <c r="N15" s="16" t="inlineStr">
        <is>
          <t>Fine-tune Llama-3-8B on an objection-handling dataset using QLoRA.</t>
        </is>
      </c>
      <c r="O15" s="14" t="inlineStr">
        <is>
          <t>Not Started</t>
        </is>
      </c>
      <c r="P15" s="16" t="inlineStr">
        <is>
          <t>Enables adapting open models to proprietary company sales playbooks.</t>
        </is>
      </c>
    </row>
    <row r="16" ht="26" customHeight="1">
      <c r="A16" s="19" t="inlineStr">
        <is>
          <t>RES-012</t>
        </is>
      </c>
      <c r="B16" s="19" t="inlineStr">
        <is>
          <t>Hugging Face</t>
        </is>
      </c>
      <c r="C16" s="20" t="inlineStr">
        <is>
          <t>Hugging Face NLP Course</t>
        </is>
      </c>
      <c r="D16" s="31" t="inlineStr">
        <is>
          <t>https://huggingface.co/learn/nlp-course</t>
        </is>
      </c>
      <c r="E16" s="22" t="inlineStr">
        <is>
          <t>NLP &amp; Transformers</t>
        </is>
      </c>
      <c r="F16" s="22" t="inlineStr">
        <is>
          <t>Interactive Course</t>
        </is>
      </c>
      <c r="G16" s="22" t="inlineStr">
        <is>
          <t>Beginner to Intermediate</t>
        </is>
      </c>
      <c r="H16" s="21" t="inlineStr">
        <is>
          <t>Python, PyTorch</t>
        </is>
      </c>
      <c r="I16" s="22" t="inlineStr">
        <is>
          <t>Phase 3 &amp; 4</t>
        </is>
      </c>
      <c r="J16" s="37" t="n">
        <v>25</v>
      </c>
      <c r="K16" s="19" t="inlineStr">
        <is>
          <t>Free</t>
        </is>
      </c>
      <c r="L16" s="19" t="inlineStr">
        <is>
          <t>Essential</t>
        </is>
      </c>
      <c r="M16" s="21" t="inlineStr">
        <is>
          <t>Master Transformers from scratch, tokenizers, pipeline API, fine-tuning with Trainer, and evaluation metrics.</t>
        </is>
      </c>
      <c r="N16" s="21" t="inlineStr">
        <is>
          <t>Fine-tune a DistilBERT text classification model for customer email urgency detection.</t>
        </is>
      </c>
      <c r="O16" s="19" t="inlineStr">
        <is>
          <t>Not Started</t>
        </is>
      </c>
      <c r="P16" s="21" t="inlineStr">
        <is>
          <t>Widely recognized as the best practical deep dive into modern NLP.</t>
        </is>
      </c>
    </row>
    <row r="17" ht="26" customHeight="1">
      <c r="A17" s="14" t="inlineStr">
        <is>
          <t>RES-013</t>
        </is>
      </c>
      <c r="B17" s="14" t="inlineStr">
        <is>
          <t>Hugging Face</t>
        </is>
      </c>
      <c r="C17" s="15" t="inlineStr">
        <is>
          <t>Hugging Face Transformers Documentation</t>
        </is>
      </c>
      <c r="D17" s="27" t="inlineStr">
        <is>
          <t>https://huggingface.co/docs/transformers</t>
        </is>
      </c>
      <c r="E17" s="17" t="inlineStr">
        <is>
          <t>Transformers</t>
        </is>
      </c>
      <c r="F17" s="17" t="inlineStr">
        <is>
          <t>Official Documentation</t>
        </is>
      </c>
      <c r="G17" s="17" t="inlineStr">
        <is>
          <t>Intermediate to Advanced</t>
        </is>
      </c>
      <c r="H17" s="16" t="inlineStr">
        <is>
          <t>Python, PyTorch</t>
        </is>
      </c>
      <c r="I17" s="17" t="inlineStr">
        <is>
          <t>Phase 4</t>
        </is>
      </c>
      <c r="J17" s="36" t="n">
        <v>20</v>
      </c>
      <c r="K17" s="14" t="inlineStr">
        <is>
          <t>Free</t>
        </is>
      </c>
      <c r="L17" s="14" t="inlineStr">
        <is>
          <t>Essential</t>
        </is>
      </c>
      <c r="M17" s="16" t="inlineStr">
        <is>
          <t>Comprehensive API reference for model loading, quantization configurations (bitsandbytes, AWQ), generation parameters.</t>
        </is>
      </c>
      <c r="N17" s="16" t="inlineStr">
        <is>
          <t>Write custom generation loop with temperature, top_p, and stop token controls.</t>
        </is>
      </c>
      <c r="O17" s="14" t="inlineStr">
        <is>
          <t>Not Started</t>
        </is>
      </c>
      <c r="P17" s="16" t="inlineStr">
        <is>
          <t>The backbone library for open-source AI engineering.</t>
        </is>
      </c>
    </row>
    <row r="18" ht="26" customHeight="1">
      <c r="A18" s="19" t="inlineStr">
        <is>
          <t>RES-014</t>
        </is>
      </c>
      <c r="B18" s="19" t="inlineStr">
        <is>
          <t>PyTorch</t>
        </is>
      </c>
      <c r="C18" s="20" t="inlineStr">
        <is>
          <t>PyTorch Official Tutorials (Deep Learning with PyTorch)</t>
        </is>
      </c>
      <c r="D18" s="31" t="inlineStr">
        <is>
          <t>https://pytorch.org/tutorials</t>
        </is>
      </c>
      <c r="E18" s="22" t="inlineStr">
        <is>
          <t>Deep Learning</t>
        </is>
      </c>
      <c r="F18" s="22" t="inlineStr">
        <is>
          <t>Official Tutorials</t>
        </is>
      </c>
      <c r="G18" s="22" t="inlineStr">
        <is>
          <t>Beginner to Intermediate</t>
        </is>
      </c>
      <c r="H18" s="21" t="inlineStr">
        <is>
          <t>Python, Linear Algebra</t>
        </is>
      </c>
      <c r="I18" s="22" t="inlineStr">
        <is>
          <t>Phase 3</t>
        </is>
      </c>
      <c r="J18" s="37" t="n">
        <v>20</v>
      </c>
      <c r="K18" s="19" t="inlineStr">
        <is>
          <t>Free</t>
        </is>
      </c>
      <c r="L18" s="19" t="inlineStr">
        <is>
          <t>Essential</t>
        </is>
      </c>
      <c r="M18" s="21" t="inlineStr">
        <is>
          <t>Learn tensors, autograd, nn.Module, Dataset/DataLoader, optimizers, and model saving/loading.</t>
        </is>
      </c>
      <c r="N18" s="21" t="inlineStr">
        <is>
          <t>Build and train a 3-layer neural network from scratch on custom tabular sales data.</t>
        </is>
      </c>
      <c r="O18" s="19" t="inlineStr">
        <is>
          <t>Not Started</t>
        </is>
      </c>
      <c r="P18" s="21" t="inlineStr">
        <is>
          <t>The primary deep learning framework used in modern AI research and engineering.</t>
        </is>
      </c>
    </row>
    <row r="19" ht="26" customHeight="1">
      <c r="A19" s="14" t="inlineStr">
        <is>
          <t>RES-015</t>
        </is>
      </c>
      <c r="B19" s="14" t="inlineStr">
        <is>
          <t>fast.ai</t>
        </is>
      </c>
      <c r="C19" s="15" t="inlineStr">
        <is>
          <t>Practical Deep Learning for Coders (Part 1 &amp; 2)</t>
        </is>
      </c>
      <c r="D19" s="27" t="inlineStr">
        <is>
          <t>https://course.fast.ai</t>
        </is>
      </c>
      <c r="E19" s="17" t="inlineStr">
        <is>
          <t>Deep Learning</t>
        </is>
      </c>
      <c r="F19" s="17" t="inlineStr">
        <is>
          <t>Video Course / Book</t>
        </is>
      </c>
      <c r="G19" s="17" t="inlineStr">
        <is>
          <t>Beginner to Intermediate</t>
        </is>
      </c>
      <c r="H19" s="16" t="inlineStr">
        <is>
          <t>Python</t>
        </is>
      </c>
      <c r="I19" s="17" t="inlineStr">
        <is>
          <t>Phase 3</t>
        </is>
      </c>
      <c r="J19" s="36" t="n">
        <v>30</v>
      </c>
      <c r="K19" s="14" t="inlineStr">
        <is>
          <t>Free</t>
        </is>
      </c>
      <c r="L19" s="14" t="inlineStr">
        <is>
          <t>Recommended</t>
        </is>
      </c>
      <c r="M19" s="16" t="inlineStr">
        <is>
          <t>Top-down, code-first introduction to deep learning, training dynamics, transfer learning, and model debugging.</t>
        </is>
      </c>
      <c r="N19" s="16" t="inlineStr">
        <is>
          <t>Train an image classifier and tabular prediction model using fastai/PyTorch.</t>
        </is>
      </c>
      <c r="O19" s="14" t="inlineStr">
        <is>
          <t>Not Started</t>
        </is>
      </c>
      <c r="P19" s="16" t="inlineStr">
        <is>
          <t>Exceptional intuitive pedagogy that demystifies neural networks.</t>
        </is>
      </c>
    </row>
    <row r="20" ht="26" customHeight="1">
      <c r="A20" s="19" t="inlineStr">
        <is>
          <t>RES-016</t>
        </is>
      </c>
      <c r="B20" s="19" t="inlineStr">
        <is>
          <t>scikit-learn</t>
        </is>
      </c>
      <c r="C20" s="20" t="inlineStr">
        <is>
          <t>scikit-learn Official User Guide</t>
        </is>
      </c>
      <c r="D20" s="31" t="inlineStr">
        <is>
          <t>https://scikit-learn.org/stable/user_guide.html</t>
        </is>
      </c>
      <c r="E20" s="22" t="inlineStr">
        <is>
          <t>Machine Learning</t>
        </is>
      </c>
      <c r="F20" s="22" t="inlineStr">
        <is>
          <t>Official User Guide</t>
        </is>
      </c>
      <c r="G20" s="22" t="inlineStr">
        <is>
          <t>Beginner to Intermediate</t>
        </is>
      </c>
      <c r="H20" s="21" t="inlineStr">
        <is>
          <t>Python, NumPy</t>
        </is>
      </c>
      <c r="I20" s="22" t="inlineStr">
        <is>
          <t>Phase 2</t>
        </is>
      </c>
      <c r="J20" s="37" t="n">
        <v>20</v>
      </c>
      <c r="K20" s="19" t="inlineStr">
        <is>
          <t>Free</t>
        </is>
      </c>
      <c r="L20" s="19" t="inlineStr">
        <is>
          <t>Essential</t>
        </is>
      </c>
      <c r="M20" s="21" t="inlineStr">
        <is>
          <t>In-depth documentation of linear models, trees, ensembles, clustering, preprocessing pipelines, and cross-validation.</t>
        </is>
      </c>
      <c r="N20" s="21" t="inlineStr">
        <is>
          <t>Build a production Scikit-Learn Pipeline combining ColumnTransformer and RandomForestClassifier.</t>
        </is>
      </c>
      <c r="O20" s="19" t="inlineStr">
        <is>
          <t>Not Started</t>
        </is>
      </c>
      <c r="P20" s="21" t="inlineStr">
        <is>
          <t>The definitive reference for classical machine learning algorithms.</t>
        </is>
      </c>
    </row>
    <row r="21" ht="26" customHeight="1">
      <c r="A21" s="14" t="inlineStr">
        <is>
          <t>RES-017</t>
        </is>
      </c>
      <c r="B21" s="14" t="inlineStr">
        <is>
          <t>Python.org</t>
        </is>
      </c>
      <c r="C21" s="15" t="inlineStr">
        <is>
          <t>Python 3 Official Documentation &amp; Typing Guide</t>
        </is>
      </c>
      <c r="D21" s="27" t="inlineStr">
        <is>
          <t>https://docs.python.org/3/</t>
        </is>
      </c>
      <c r="E21" s="17" t="inlineStr">
        <is>
          <t>Programming</t>
        </is>
      </c>
      <c r="F21" s="17" t="inlineStr">
        <is>
          <t>Official Documentation</t>
        </is>
      </c>
      <c r="G21" s="17" t="inlineStr">
        <is>
          <t>Beginner to Advanced</t>
        </is>
      </c>
      <c r="H21" s="16" t="inlineStr">
        <is>
          <t>None</t>
        </is>
      </c>
      <c r="I21" s="17" t="inlineStr">
        <is>
          <t>Phase 1</t>
        </is>
      </c>
      <c r="J21" s="36" t="n">
        <v>15</v>
      </c>
      <c r="K21" s="14" t="inlineStr">
        <is>
          <t>Free</t>
        </is>
      </c>
      <c r="L21" s="14" t="inlineStr">
        <is>
          <t>Essential</t>
        </is>
      </c>
      <c r="M21" s="16" t="inlineStr">
        <is>
          <t>Master data models, OOP, async io, typing module (TypeVar, Protocol), and exception hierarchies.</t>
        </is>
      </c>
      <c r="N21" s="16" t="inlineStr">
        <is>
          <t>Write an asynchronous task worker with typed protocol interfaces and custom exception handlers.</t>
        </is>
      </c>
      <c r="O21" s="14" t="inlineStr">
        <is>
          <t>Not Started</t>
        </is>
      </c>
      <c r="P21" s="16" t="inlineStr">
        <is>
          <t>Clean Python engineering is the single biggest differentiator of great AI engineers.</t>
        </is>
      </c>
    </row>
    <row r="22" ht="26" customHeight="1">
      <c r="A22" s="19" t="inlineStr">
        <is>
          <t>RES-018</t>
        </is>
      </c>
      <c r="B22" s="19" t="inlineStr">
        <is>
          <t>NumPy</t>
        </is>
      </c>
      <c r="C22" s="20" t="inlineStr">
        <is>
          <t>NumPy Official Documentation &amp; Quickstart</t>
        </is>
      </c>
      <c r="D22" s="31" t="inlineStr">
        <is>
          <t>https://numpy.org/doc/stable/user/quickstart.html</t>
        </is>
      </c>
      <c r="E22" s="22" t="inlineStr">
        <is>
          <t>Scientific Computing</t>
        </is>
      </c>
      <c r="F22" s="22" t="inlineStr">
        <is>
          <t>Official Guide</t>
        </is>
      </c>
      <c r="G22" s="22" t="inlineStr">
        <is>
          <t>Beginner</t>
        </is>
      </c>
      <c r="H22" s="21" t="inlineStr">
        <is>
          <t>Python</t>
        </is>
      </c>
      <c r="I22" s="22" t="inlineStr">
        <is>
          <t>Phase 1 &amp; 2</t>
        </is>
      </c>
      <c r="J22" s="37" t="n">
        <v>8</v>
      </c>
      <c r="K22" s="19" t="inlineStr">
        <is>
          <t>Free</t>
        </is>
      </c>
      <c r="L22" s="19" t="inlineStr">
        <is>
          <t>Essential</t>
        </is>
      </c>
      <c r="M22" s="21" t="inlineStr">
        <is>
          <t>Master multi-dimensional arrays, indexing, slicing, vectorization, linear algebra routines, and broadcasting.</t>
        </is>
      </c>
      <c r="N22" s="21" t="inlineStr">
        <is>
          <t>Implement cosine similarity and matrix multiplication from scratch using NumPy arrays.</t>
        </is>
      </c>
      <c r="O22" s="19" t="inlineStr">
        <is>
          <t>Not Started</t>
        </is>
      </c>
      <c r="P22" s="21" t="inlineStr">
        <is>
          <t>The foundation for all tensor computing and machine learning.</t>
        </is>
      </c>
    </row>
    <row r="23" ht="26" customHeight="1">
      <c r="A23" s="14" t="inlineStr">
        <is>
          <t>RES-019</t>
        </is>
      </c>
      <c r="B23" s="14" t="inlineStr">
        <is>
          <t>Pandas</t>
        </is>
      </c>
      <c r="C23" s="15" t="inlineStr">
        <is>
          <t>Pandas Official Documentation &amp; User Guide</t>
        </is>
      </c>
      <c r="D23" s="27" t="inlineStr">
        <is>
          <t>https://pandas.pydata.org/docs/user_guide/</t>
        </is>
      </c>
      <c r="E23" s="17" t="inlineStr">
        <is>
          <t>Data Analysis</t>
        </is>
      </c>
      <c r="F23" s="17" t="inlineStr">
        <is>
          <t>Official Guide</t>
        </is>
      </c>
      <c r="G23" s="17" t="inlineStr">
        <is>
          <t>Beginner to Intermediate</t>
        </is>
      </c>
      <c r="H23" s="16" t="inlineStr">
        <is>
          <t>Python</t>
        </is>
      </c>
      <c r="I23" s="17" t="inlineStr">
        <is>
          <t>Phase 2</t>
        </is>
      </c>
      <c r="J23" s="36" t="n">
        <v>12</v>
      </c>
      <c r="K23" s="14" t="inlineStr">
        <is>
          <t>Free</t>
        </is>
      </c>
      <c r="L23" s="14" t="inlineStr">
        <is>
          <t>Essential</t>
        </is>
      </c>
      <c r="M23" s="16" t="inlineStr">
        <is>
          <t>DataFrames, Series, merging, indexing, time series, aggregation, and handling dirty business data.</t>
        </is>
      </c>
      <c r="N23" s="16" t="inlineStr">
        <is>
          <t>Load 50,000 CRM rows, clean timestamps, engineer lead velocity features, and export clean CSV.</t>
        </is>
      </c>
      <c r="O23" s="14" t="inlineStr">
        <is>
          <t>Not Started</t>
        </is>
      </c>
      <c r="P23" s="16" t="inlineStr">
        <is>
          <t>Essential tool for analyzing customer logs and training tabular models.</t>
        </is>
      </c>
    </row>
    <row r="24" ht="26" customHeight="1">
      <c r="A24" s="19" t="inlineStr">
        <is>
          <t>RES-020</t>
        </is>
      </c>
      <c r="B24" s="19" t="inlineStr">
        <is>
          <t>LangChain</t>
        </is>
      </c>
      <c r="C24" s="20" t="inlineStr">
        <is>
          <t>LangGraph Documentation &amp; Agent Tutorials</t>
        </is>
      </c>
      <c r="D24" s="31" t="inlineStr">
        <is>
          <t>https://langchain-ai.github.io/langgraph/</t>
        </is>
      </c>
      <c r="E24" s="22" t="inlineStr">
        <is>
          <t>AI Agents</t>
        </is>
      </c>
      <c r="F24" s="22" t="inlineStr">
        <is>
          <t>Official Documentation</t>
        </is>
      </c>
      <c r="G24" s="22" t="inlineStr">
        <is>
          <t>Intermediate to Advanced</t>
        </is>
      </c>
      <c r="H24" s="21" t="inlineStr">
        <is>
          <t>Python, LLM APIs</t>
        </is>
      </c>
      <c r="I24" s="22" t="inlineStr">
        <is>
          <t>Phase 7 &amp; 8</t>
        </is>
      </c>
      <c r="J24" s="37" t="n">
        <v>18</v>
      </c>
      <c r="K24" s="19" t="inlineStr">
        <is>
          <t>Free</t>
        </is>
      </c>
      <c r="L24" s="19" t="inlineStr">
        <is>
          <t>Essential</t>
        </is>
      </c>
      <c r="M24" s="21" t="inlineStr">
        <is>
          <t>Learn state graphs, cyclical agent loops, persistence, human-in-the-loop checkpoints, and multi-agent coordination.</t>
        </is>
      </c>
      <c r="N24" s="21" t="inlineStr">
        <is>
          <t>Build stateful sales qualification graph with conditional routing and human approval pauses.</t>
        </is>
      </c>
      <c r="O24" s="19" t="inlineStr">
        <is>
          <t>Not Started</t>
        </is>
      </c>
      <c r="P24" s="21" t="inlineStr">
        <is>
          <t>The industry standard framework for reliable, production-grade agent workflows.</t>
        </is>
      </c>
    </row>
    <row r="25" ht="26" customHeight="1">
      <c r="A25" s="14" t="inlineStr">
        <is>
          <t>RES-021</t>
        </is>
      </c>
      <c r="B25" s="14" t="inlineStr">
        <is>
          <t>CrewAI</t>
        </is>
      </c>
      <c r="C25" s="15" t="inlineStr">
        <is>
          <t>CrewAI Official Documentation</t>
        </is>
      </c>
      <c r="D25" s="27" t="inlineStr">
        <is>
          <t>https://docs.crewai.com/</t>
        </is>
      </c>
      <c r="E25" s="17" t="inlineStr">
        <is>
          <t>Multi-Agent</t>
        </is>
      </c>
      <c r="F25" s="17" t="inlineStr">
        <is>
          <t>Official Documentation</t>
        </is>
      </c>
      <c r="G25" s="17" t="inlineStr">
        <is>
          <t>Intermediate</t>
        </is>
      </c>
      <c r="H25" s="16" t="inlineStr">
        <is>
          <t>Python, LLM APIs</t>
        </is>
      </c>
      <c r="I25" s="17" t="inlineStr">
        <is>
          <t>Phase 8</t>
        </is>
      </c>
      <c r="J25" s="36" t="n">
        <v>10</v>
      </c>
      <c r="K25" s="14" t="inlineStr">
        <is>
          <t>Free</t>
        </is>
      </c>
      <c r="L25" s="14" t="inlineStr">
        <is>
          <t>Recommended</t>
        </is>
      </c>
      <c r="M25" s="16" t="inlineStr">
        <is>
          <t>Role-based autonomous multi-agent teams, task delegation, shared memory, and tools.</t>
        </is>
      </c>
      <c r="N25" s="16" t="inlineStr">
        <is>
          <t>Create a 3-agent team: Lead Researcher, Pitch Drafter, and QA Auditor.</t>
        </is>
      </c>
      <c r="O25" s="14" t="inlineStr">
        <is>
          <t>Not Started</t>
        </is>
      </c>
      <c r="P25" s="16" t="inlineStr">
        <is>
          <t>Intuitive role-playing abstraction for multi-agent collaboration.</t>
        </is>
      </c>
    </row>
    <row r="26" ht="26" customHeight="1">
      <c r="A26" s="19" t="inlineStr">
        <is>
          <t>RES-022</t>
        </is>
      </c>
      <c r="B26" s="19" t="inlineStr">
        <is>
          <t>FastAPI</t>
        </is>
      </c>
      <c r="C26" s="20" t="inlineStr">
        <is>
          <t>FastAPI Official Documentation</t>
        </is>
      </c>
      <c r="D26" s="31" t="inlineStr">
        <is>
          <t>https://fastapi.tiangolo.com/</t>
        </is>
      </c>
      <c r="E26" s="22" t="inlineStr">
        <is>
          <t>Backend Engineering</t>
        </is>
      </c>
      <c r="F26" s="22" t="inlineStr">
        <is>
          <t>Official Documentation</t>
        </is>
      </c>
      <c r="G26" s="22" t="inlineStr">
        <is>
          <t>Intermediate</t>
        </is>
      </c>
      <c r="H26" s="21" t="inlineStr">
        <is>
          <t>Python, Type hints</t>
        </is>
      </c>
      <c r="I26" s="22" t="inlineStr">
        <is>
          <t>Phase 11</t>
        </is>
      </c>
      <c r="J26" s="37" t="n">
        <v>12</v>
      </c>
      <c r="K26" s="19" t="inlineStr">
        <is>
          <t>Free</t>
        </is>
      </c>
      <c r="L26" s="19" t="inlineStr">
        <is>
          <t>Essential</t>
        </is>
      </c>
      <c r="M26" s="21" t="inlineStr">
        <is>
          <t>Async API design, Pydantic validation, dependency injection, OpenAPI documentation, and background tasks.</t>
        </is>
      </c>
      <c r="N26" s="21" t="inlineStr">
        <is>
          <t>Build production webhook API endpoint receiving messages, invoking agent graph, and returning async response.</t>
        </is>
      </c>
      <c r="O26" s="19" t="inlineStr">
        <is>
          <t>Not Started</t>
        </is>
      </c>
      <c r="P26" s="21" t="inlineStr">
        <is>
          <t>The standard high-performance Python web framework for AI APIs.</t>
        </is>
      </c>
    </row>
    <row r="27" ht="26" customHeight="1">
      <c r="A27" s="14" t="inlineStr">
        <is>
          <t>RES-023</t>
        </is>
      </c>
      <c r="B27" s="14" t="inlineStr">
        <is>
          <t>pgvector / PostgreSQL</t>
        </is>
      </c>
      <c r="C27" s="15" t="inlineStr">
        <is>
          <t>PostgreSQL &amp; pgvector Official Documentation</t>
        </is>
      </c>
      <c r="D27" s="27" t="inlineStr">
        <is>
          <t>https://github.com/pgvector/pgvector</t>
        </is>
      </c>
      <c r="E27" s="17" t="inlineStr">
        <is>
          <t>Database &amp; Vectors</t>
        </is>
      </c>
      <c r="F27" s="17" t="inlineStr">
        <is>
          <t>Official Documentation</t>
        </is>
      </c>
      <c r="G27" s="17" t="inlineStr">
        <is>
          <t>Intermediate</t>
        </is>
      </c>
      <c r="H27" s="16" t="inlineStr">
        <is>
          <t>SQL basics</t>
        </is>
      </c>
      <c r="I27" s="17" t="inlineStr">
        <is>
          <t>Phase 6 &amp; 11</t>
        </is>
      </c>
      <c r="J27" s="36" t="n">
        <v>8</v>
      </c>
      <c r="K27" s="14" t="inlineStr">
        <is>
          <t>Free</t>
        </is>
      </c>
      <c r="L27" s="14" t="inlineStr">
        <is>
          <t>Essential</t>
        </is>
      </c>
      <c r="M27" s="16" t="inlineStr">
        <is>
          <t>Vector storage in relational DBs, IVFFlat and HNSW indexes, hybrid SQL + vector queries.</t>
        </is>
      </c>
      <c r="N27" s="16" t="inlineStr">
        <is>
          <t>Write SQL query combining metadata filtering (customer_industry='SaaS') with vector cosine similarity.</t>
        </is>
      </c>
      <c r="O27" s="14" t="inlineStr">
        <is>
          <t>Not Started</t>
        </is>
      </c>
      <c r="P27" s="16" t="inlineStr">
        <is>
          <t>Keeps your architecture simple by using one database for both relational data and vector embeddings.</t>
        </is>
      </c>
    </row>
    <row r="28" ht="26" customHeight="1">
      <c r="A28" s="19" t="inlineStr">
        <is>
          <t>RES-024</t>
        </is>
      </c>
      <c r="B28" s="19" t="inlineStr">
        <is>
          <t>Docker</t>
        </is>
      </c>
      <c r="C28" s="20" t="inlineStr">
        <is>
          <t>Docker Documentation &amp; Container Best Practices</t>
        </is>
      </c>
      <c r="D28" s="31" t="inlineStr">
        <is>
          <t>https://docs.docker.com/</t>
        </is>
      </c>
      <c r="E28" s="22" t="inlineStr">
        <is>
          <t>DevOps &amp; Deployment</t>
        </is>
      </c>
      <c r="F28" s="22" t="inlineStr">
        <is>
          <t>Official Documentation</t>
        </is>
      </c>
      <c r="G28" s="22" t="inlineStr">
        <is>
          <t>Intermediate</t>
        </is>
      </c>
      <c r="H28" s="21" t="inlineStr">
        <is>
          <t>Linux CLI</t>
        </is>
      </c>
      <c r="I28" s="22" t="inlineStr">
        <is>
          <t>Phase 11</t>
        </is>
      </c>
      <c r="J28" s="37" t="n">
        <v>10</v>
      </c>
      <c r="K28" s="19" t="inlineStr">
        <is>
          <t>Free</t>
        </is>
      </c>
      <c r="L28" s="19" t="inlineStr">
        <is>
          <t>Essential</t>
        </is>
      </c>
      <c r="M28" s="21" t="inlineStr">
        <is>
          <t>Dockerfiles, multi-stage builds, non-root user security, docker-compose orchestration, environment variables.</t>
        </is>
      </c>
      <c r="N28" s="21" t="inlineStr">
        <is>
          <t>Create multi-container docker-compose stack running FastAPI, PostgreSQL pgvector, and Redis.</t>
        </is>
      </c>
      <c r="O28" s="19" t="inlineStr">
        <is>
          <t>Not Started</t>
        </is>
      </c>
      <c r="P28" s="21" t="inlineStr">
        <is>
          <t>Ensures reproducibility and painless deployment to Render, Hetzner, or AWS.</t>
        </is>
      </c>
    </row>
    <row r="29" ht="26" customHeight="1">
      <c r="A29" s="14" t="inlineStr">
        <is>
          <t>RES-025</t>
        </is>
      </c>
      <c r="B29" s="14" t="inlineStr">
        <is>
          <t>OWASP</t>
        </is>
      </c>
      <c r="C29" s="15" t="inlineStr">
        <is>
          <t>OWASP Top 10 for Large Language Model Applications</t>
        </is>
      </c>
      <c r="D29" s="27" t="inlineStr">
        <is>
          <t>https://owasp.org/www-project-top-10-for-large-language-model-applications/</t>
        </is>
      </c>
      <c r="E29" s="17" t="inlineStr">
        <is>
          <t>AI Security</t>
        </is>
      </c>
      <c r="F29" s="17" t="inlineStr">
        <is>
          <t>Security Guide</t>
        </is>
      </c>
      <c r="G29" s="17" t="inlineStr">
        <is>
          <t>Intermediate to Advanced</t>
        </is>
      </c>
      <c r="H29" s="16" t="inlineStr">
        <is>
          <t>LLM basics</t>
        </is>
      </c>
      <c r="I29" s="17" t="inlineStr">
        <is>
          <t>Phase 11</t>
        </is>
      </c>
      <c r="J29" s="36" t="n">
        <v>6</v>
      </c>
      <c r="K29" s="14" t="inlineStr">
        <is>
          <t>Free</t>
        </is>
      </c>
      <c r="L29" s="14" t="inlineStr">
        <is>
          <t>Essential</t>
        </is>
      </c>
      <c r="M29" s="16" t="inlineStr">
        <is>
          <t>Prompt injection, insecure output handling, training data poisoning, model denial of service, excessive agency.</t>
        </is>
      </c>
      <c r="N29" s="16" t="inlineStr">
        <is>
          <t>Audit your sales agent against all 10 vulnerabilities and implement sanitization &amp; tool permission boundaries.</t>
        </is>
      </c>
      <c r="O29" s="14" t="inlineStr">
        <is>
          <t>Not Started</t>
        </is>
      </c>
      <c r="P29" s="16" t="inlineStr">
        <is>
          <t>Non-negotiable security requirements before exposing agents to commercial clients.</t>
        </is>
      </c>
    </row>
  </sheetData>
  <autoFilter ref="A4:P29"/>
  <dataValidations count="3">
    <dataValidation sqref="O5:O29" showDropDown="0" showInputMessage="0" showErrorMessage="0" allowBlank="1" type="list">
      <formula1>"Not Started,In Progress,Completed,Bookmarked"</formula1>
    </dataValidation>
    <dataValidation sqref="L5:L29" showDropDown="0" showInputMessage="0" showErrorMessage="0" allowBlank="1" type="list">
      <formula1>"Essential,Recommended,Optional"</formula1>
    </dataValidation>
    <dataValidation sqref="K5:K29" showDropDown="0" showInputMessage="0" showErrorMessage="0" allowBlank="1" type="list">
      <formula1>"Free,Free / Freemium,Paid API,Free (Compute Req)"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11" customWidth="1" min="4" max="4"/>
    <col width="14" customWidth="1" min="5" max="5"/>
    <col width="12" customWidth="1" min="6" max="6"/>
    <col width="14" customWidth="1" min="7" max="7"/>
    <col width="12" customWidth="1" min="8" max="8"/>
    <col width="32" customWidth="1" min="9" max="9"/>
    <col width="30" customWidth="1" min="10" max="10"/>
    <col width="20" customWidth="1" min="11" max="11"/>
    <col width="13" customWidth="1" min="12" max="12"/>
    <col width="20" customWidth="1" min="13" max="13"/>
  </cols>
  <sheetData>
    <row r="1" ht="24" customHeight="1">
      <c r="A1" s="12" t="inlineStr">
        <is>
          <t>AI/ML &amp; AI AGENT TOPIC COMPLETION CHECKLIST</t>
        </is>
      </c>
    </row>
    <row r="2" ht="18" customHeight="1">
      <c r="A2" s="2" t="inlineStr">
        <is>
          <t>Granular Skill-by-Skill Verification: Python, Mathematics, ML, DL, LLMs, RAG, Agents, Production, and Business</t>
        </is>
      </c>
    </row>
    <row r="4" ht="28" customHeight="1">
      <c r="A4" s="13" t="inlineStr">
        <is>
          <t>Topic ID</t>
        </is>
      </c>
      <c r="B4" s="13" t="inlineStr">
        <is>
          <t>Subject</t>
        </is>
      </c>
      <c r="C4" s="13" t="inlineStr">
        <is>
          <t>Topic Name</t>
        </is>
      </c>
      <c r="D4" s="13" t="inlineStr">
        <is>
          <t>Priority</t>
        </is>
      </c>
      <c r="E4" s="13" t="inlineStr">
        <is>
          <t>Prerequisites</t>
        </is>
      </c>
      <c r="F4" s="13" t="inlineStr">
        <is>
          <t>Resource Links</t>
        </is>
      </c>
      <c r="G4" s="13" t="inlineStr">
        <is>
          <t>Status</t>
        </is>
      </c>
      <c r="H4" s="13" t="inlineStr">
        <is>
          <t>Confidence Score (1-5)</t>
        </is>
      </c>
      <c r="I4" s="13" t="inlineStr">
        <is>
          <t>Practice Task</t>
        </is>
      </c>
      <c r="J4" s="13" t="inlineStr">
        <is>
          <t>Assessment Criteria</t>
        </is>
      </c>
      <c r="K4" s="13" t="inlineStr">
        <is>
          <t>Evidence</t>
        </is>
      </c>
      <c r="L4" s="13" t="inlineStr">
        <is>
          <t>Date Completed</t>
        </is>
      </c>
      <c r="M4" s="13" t="inlineStr">
        <is>
          <t>Notes</t>
        </is>
      </c>
    </row>
    <row r="5" ht="24" customHeight="1">
      <c r="A5" s="14" t="inlineStr">
        <is>
          <t>TOP-001</t>
        </is>
      </c>
      <c r="B5" s="17" t="inlineStr">
        <is>
          <t>Python</t>
        </is>
      </c>
      <c r="C5" s="15" t="inlineStr">
        <is>
          <t>Variables &amp; Advanced Data Types</t>
        </is>
      </c>
      <c r="D5" s="14" t="inlineStr">
        <is>
          <t>High</t>
        </is>
      </c>
      <c r="E5" s="17" t="inlineStr">
        <is>
          <t>Basic syntax</t>
        </is>
      </c>
      <c r="F5" s="17" t="inlineStr">
        <is>
          <t>RES-017</t>
        </is>
      </c>
      <c r="G5" s="14" t="inlineStr">
        <is>
          <t>Not Started</t>
        </is>
      </c>
      <c r="H5" s="17" t="n">
        <v>3</v>
      </c>
      <c r="I5" s="16" t="inlineStr">
        <is>
          <t>Implement custom cache dict with TTL expiration using Python dict &amp; time.</t>
        </is>
      </c>
      <c r="J5" s="16" t="inlineStr">
        <is>
          <t>Explain memory references vs copies and mutability nuances.</t>
        </is>
      </c>
      <c r="K5" s="16" t="inlineStr"/>
      <c r="L5" s="17" t="inlineStr"/>
      <c r="M5" s="16" t="inlineStr"/>
    </row>
    <row r="6" ht="24" customHeight="1">
      <c r="A6" s="19" t="inlineStr">
        <is>
          <t>TOP-002</t>
        </is>
      </c>
      <c r="B6" s="22" t="inlineStr">
        <is>
          <t>Python</t>
        </is>
      </c>
      <c r="C6" s="20" t="inlineStr">
        <is>
          <t>Functions, Closures &amp; Decorators</t>
        </is>
      </c>
      <c r="D6" s="19" t="inlineStr">
        <is>
          <t>High</t>
        </is>
      </c>
      <c r="E6" s="22" t="inlineStr">
        <is>
          <t>TOP-001</t>
        </is>
      </c>
      <c r="F6" s="22" t="inlineStr">
        <is>
          <t>RES-017</t>
        </is>
      </c>
      <c r="G6" s="19" t="inlineStr">
        <is>
          <t>Not Started</t>
        </is>
      </c>
      <c r="H6" s="22" t="n">
        <v>3</v>
      </c>
      <c r="I6" s="21" t="inlineStr">
        <is>
          <t>Build `@retry_with_backoff(max_retries=3)` decorator for API calls.</t>
        </is>
      </c>
      <c r="J6" s="21" t="inlineStr">
        <is>
          <t>Decorator properly wraps async/sync functions with functools.wraps.</t>
        </is>
      </c>
      <c r="K6" s="21" t="inlineStr"/>
      <c r="L6" s="22" t="inlineStr"/>
      <c r="M6" s="21" t="inlineStr"/>
    </row>
    <row r="7" ht="24" customHeight="1">
      <c r="A7" s="14" t="inlineStr">
        <is>
          <t>TOP-003</t>
        </is>
      </c>
      <c r="B7" s="17" t="inlineStr">
        <is>
          <t>Python</t>
        </is>
      </c>
      <c r="C7" s="15" t="inlineStr">
        <is>
          <t>OOP, Protocols &amp; Abstract Classes</t>
        </is>
      </c>
      <c r="D7" s="14" t="inlineStr">
        <is>
          <t>High</t>
        </is>
      </c>
      <c r="E7" s="17" t="inlineStr">
        <is>
          <t>TOP-002</t>
        </is>
      </c>
      <c r="F7" s="17" t="inlineStr">
        <is>
          <t>RES-017</t>
        </is>
      </c>
      <c r="G7" s="14" t="inlineStr">
        <is>
          <t>Not Started</t>
        </is>
      </c>
      <c r="H7" s="17" t="n">
        <v>3</v>
      </c>
      <c r="I7" s="16" t="inlineStr">
        <is>
          <t>Design abstract BaseAgent class and implement EmailSalesAgent subclass.</t>
        </is>
      </c>
      <c r="J7" s="16" t="inlineStr">
        <is>
          <t>Demonstrate polymorphism, dependency injection, and clean interface segregation.</t>
        </is>
      </c>
      <c r="K7" s="16" t="inlineStr"/>
      <c r="L7" s="17" t="inlineStr"/>
      <c r="M7" s="16" t="inlineStr"/>
    </row>
    <row r="8" ht="24" customHeight="1">
      <c r="A8" s="19" t="inlineStr">
        <is>
          <t>TOP-004</t>
        </is>
      </c>
      <c r="B8" s="22" t="inlineStr">
        <is>
          <t>Python</t>
        </is>
      </c>
      <c r="C8" s="20" t="inlineStr">
        <is>
          <t>Exception Handling &amp; Custom Errors</t>
        </is>
      </c>
      <c r="D8" s="19" t="inlineStr">
        <is>
          <t>High</t>
        </is>
      </c>
      <c r="E8" s="22" t="inlineStr">
        <is>
          <t>TOP-003</t>
        </is>
      </c>
      <c r="F8" s="22" t="inlineStr">
        <is>
          <t>RES-017</t>
        </is>
      </c>
      <c r="G8" s="19" t="inlineStr">
        <is>
          <t>Not Started</t>
        </is>
      </c>
      <c r="H8" s="22" t="n">
        <v>3</v>
      </c>
      <c r="I8" s="21" t="inlineStr">
        <is>
          <t>Create hierarchy: AgentError -&gt; ToolExecutionError -&gt; RateLimitExceededError.</t>
        </is>
      </c>
      <c r="J8" s="21" t="inlineStr">
        <is>
          <t>Code handles specific exceptions cleanly without catching broad Exception.</t>
        </is>
      </c>
      <c r="K8" s="21" t="inlineStr"/>
      <c r="L8" s="22" t="inlineStr"/>
      <c r="M8" s="21" t="inlineStr"/>
    </row>
    <row r="9" ht="24" customHeight="1">
      <c r="A9" s="14" t="inlineStr">
        <is>
          <t>TOP-005</t>
        </is>
      </c>
      <c r="B9" s="17" t="inlineStr">
        <is>
          <t>Python</t>
        </is>
      </c>
      <c r="C9" s="15" t="inlineStr">
        <is>
          <t>JSON, Serialization &amp; Pydantic</t>
        </is>
      </c>
      <c r="D9" s="14" t="inlineStr">
        <is>
          <t>High</t>
        </is>
      </c>
      <c r="E9" s="17" t="inlineStr">
        <is>
          <t>TOP-001</t>
        </is>
      </c>
      <c r="F9" s="17" t="inlineStr">
        <is>
          <t>RES-017</t>
        </is>
      </c>
      <c r="G9" s="14" t="inlineStr">
        <is>
          <t>Not Started</t>
        </is>
      </c>
      <c r="H9" s="17" t="n">
        <v>3</v>
      </c>
      <c r="I9" s="16" t="inlineStr">
        <is>
          <t>Build Pydantic schema for LeadProfile with email and phone validator.</t>
        </is>
      </c>
      <c r="J9" s="16" t="inlineStr">
        <is>
          <t>Validates nested schemas and rejects malformed types gracefully.</t>
        </is>
      </c>
      <c r="K9" s="16" t="inlineStr"/>
      <c r="L9" s="17" t="inlineStr"/>
      <c r="M9" s="16" t="inlineStr"/>
    </row>
    <row r="10" ht="24" customHeight="1">
      <c r="A10" s="19" t="inlineStr">
        <is>
          <t>TOP-006</t>
        </is>
      </c>
      <c r="B10" s="22" t="inlineStr">
        <is>
          <t>Python</t>
        </is>
      </c>
      <c r="C10" s="20" t="inlineStr">
        <is>
          <t>AsyncIO &amp; Concurrent HTTP Fetching</t>
        </is>
      </c>
      <c r="D10" s="19" t="inlineStr">
        <is>
          <t>High</t>
        </is>
      </c>
      <c r="E10" s="22" t="inlineStr">
        <is>
          <t>TOP-002</t>
        </is>
      </c>
      <c r="F10" s="22" t="inlineStr">
        <is>
          <t>RES-022</t>
        </is>
      </c>
      <c r="G10" s="19" t="inlineStr">
        <is>
          <t>Not Started</t>
        </is>
      </c>
      <c r="H10" s="22" t="n">
        <v>2</v>
      </c>
      <c r="I10" s="21" t="inlineStr">
        <is>
          <t>Use httpx.AsyncClient to query 20 website homepages concurrently.</t>
        </is>
      </c>
      <c r="J10" s="21" t="inlineStr">
        <is>
          <t>Runs without blocking event loop; handles timeouts and connection errors.</t>
        </is>
      </c>
      <c r="K10" s="21" t="inlineStr"/>
      <c r="L10" s="22" t="inlineStr"/>
      <c r="M10" s="21" t="inlineStr"/>
    </row>
    <row r="11" ht="24" customHeight="1">
      <c r="A11" s="14" t="inlineStr">
        <is>
          <t>TOP-007</t>
        </is>
      </c>
      <c r="B11" s="17" t="inlineStr">
        <is>
          <t>Python</t>
        </is>
      </c>
      <c r="C11" s="15" t="inlineStr">
        <is>
          <t>File I/O &amp; JSONL Streaming</t>
        </is>
      </c>
      <c r="D11" s="14" t="inlineStr">
        <is>
          <t>Medium</t>
        </is>
      </c>
      <c r="E11" s="17" t="inlineStr">
        <is>
          <t>TOP-001</t>
        </is>
      </c>
      <c r="F11" s="17" t="inlineStr">
        <is>
          <t>RES-017</t>
        </is>
      </c>
      <c r="G11" s="14" t="inlineStr">
        <is>
          <t>Not Started</t>
        </is>
      </c>
      <c r="H11" s="17" t="n">
        <v>3</v>
      </c>
      <c r="I11" s="16" t="inlineStr">
        <is>
          <t>Stream 100,000 JSON lines without loading entire file into memory.</t>
        </is>
      </c>
      <c r="J11" s="16" t="inlineStr">
        <is>
          <t>Uses generator functions yielding records one line at a time.</t>
        </is>
      </c>
      <c r="K11" s="16" t="inlineStr"/>
      <c r="L11" s="17" t="inlineStr"/>
      <c r="M11" s="16" t="inlineStr"/>
    </row>
    <row r="12" ht="24" customHeight="1">
      <c r="A12" s="19" t="inlineStr">
        <is>
          <t>TOP-008</t>
        </is>
      </c>
      <c r="B12" s="22" t="inlineStr">
        <is>
          <t>Python</t>
        </is>
      </c>
      <c r="C12" s="20" t="inlineStr">
        <is>
          <t>Virtual Environments &amp; Poetry/Pip</t>
        </is>
      </c>
      <c r="D12" s="19" t="inlineStr">
        <is>
          <t>High</t>
        </is>
      </c>
      <c r="E12" s="22" t="inlineStr">
        <is>
          <t>None</t>
        </is>
      </c>
      <c r="F12" s="22" t="inlineStr">
        <is>
          <t>RES-017</t>
        </is>
      </c>
      <c r="G12" s="19" t="inlineStr">
        <is>
          <t>Not Started</t>
        </is>
      </c>
      <c r="H12" s="22" t="n">
        <v>3</v>
      </c>
      <c r="I12" s="21" t="inlineStr">
        <is>
          <t>Configure clean Python 3.11 virtual environment with lockfile.</t>
        </is>
      </c>
      <c r="J12" s="21" t="inlineStr">
        <is>
          <t>Installs cleanly on clean Ubuntu machine without dependency conflicts.</t>
        </is>
      </c>
      <c r="K12" s="21" t="inlineStr"/>
      <c r="L12" s="22" t="inlineStr"/>
      <c r="M12" s="21" t="inlineStr"/>
    </row>
    <row r="13" ht="24" customHeight="1">
      <c r="A13" s="14" t="inlineStr">
        <is>
          <t>TOP-009</t>
        </is>
      </c>
      <c r="B13" s="17" t="inlineStr">
        <is>
          <t>Python</t>
        </is>
      </c>
      <c r="C13" s="15" t="inlineStr">
        <is>
          <t>Unit Testing with Pytest</t>
        </is>
      </c>
      <c r="D13" s="14" t="inlineStr">
        <is>
          <t>High</t>
        </is>
      </c>
      <c r="E13" s="17" t="inlineStr">
        <is>
          <t>TOP-003</t>
        </is>
      </c>
      <c r="F13" s="17" t="inlineStr">
        <is>
          <t>RES-017</t>
        </is>
      </c>
      <c r="G13" s="14" t="inlineStr">
        <is>
          <t>Not Started</t>
        </is>
      </c>
      <c r="H13" s="17" t="n">
        <v>3</v>
      </c>
      <c r="I13" s="16" t="inlineStr">
        <is>
          <t>Write 10 unit tests mocking external LLM responses with pytest-mock.</t>
        </is>
      </c>
      <c r="J13" s="16" t="inlineStr">
        <is>
          <t>All tests pass with &gt; 85% branch coverage.</t>
        </is>
      </c>
      <c r="K13" s="16" t="inlineStr"/>
      <c r="L13" s="17" t="inlineStr"/>
      <c r="M13" s="16" t="inlineStr"/>
    </row>
    <row r="14" ht="24" customHeight="1">
      <c r="A14" s="19" t="inlineStr">
        <is>
          <t>TOP-010</t>
        </is>
      </c>
      <c r="B14" s="22" t="inlineStr">
        <is>
          <t>Python</t>
        </is>
      </c>
      <c r="C14" s="20" t="inlineStr">
        <is>
          <t>Structured Logging &amp; Git Discipline</t>
        </is>
      </c>
      <c r="D14" s="19" t="inlineStr">
        <is>
          <t>Medium</t>
        </is>
      </c>
      <c r="E14" s="22" t="inlineStr">
        <is>
          <t>None</t>
        </is>
      </c>
      <c r="F14" s="22" t="inlineStr">
        <is>
          <t>RES-017</t>
        </is>
      </c>
      <c r="G14" s="19" t="inlineStr">
        <is>
          <t>Not Started</t>
        </is>
      </c>
      <c r="H14" s="22" t="n">
        <v>3</v>
      </c>
      <c r="I14" s="21" t="inlineStr">
        <is>
          <t>Configure Python `logging` to output JSON formatted logs with timestamps.</t>
        </is>
      </c>
      <c r="J14" s="21" t="inlineStr">
        <is>
          <t>Git repo has clean conventional commits and .gitignore for env/keys.</t>
        </is>
      </c>
      <c r="K14" s="21" t="inlineStr"/>
      <c r="L14" s="22" t="inlineStr"/>
      <c r="M14" s="21" t="inlineStr"/>
    </row>
    <row r="15" ht="24" customHeight="1">
      <c r="A15" s="14" t="inlineStr">
        <is>
          <t>TOP-011</t>
        </is>
      </c>
      <c r="B15" s="17" t="inlineStr">
        <is>
          <t>Mathematics</t>
        </is>
      </c>
      <c r="C15" s="15" t="inlineStr">
        <is>
          <t>Vectors, Norms &amp; Dot Products</t>
        </is>
      </c>
      <c r="D15" s="14" t="inlineStr">
        <is>
          <t>High</t>
        </is>
      </c>
      <c r="E15" s="17" t="inlineStr">
        <is>
          <t>High school math</t>
        </is>
      </c>
      <c r="F15" s="17" t="inlineStr">
        <is>
          <t>RES-018</t>
        </is>
      </c>
      <c r="G15" s="14" t="inlineStr">
        <is>
          <t>Not Started</t>
        </is>
      </c>
      <c r="H15" s="17" t="n">
        <v>2</v>
      </c>
      <c r="I15" s="16" t="inlineStr">
        <is>
          <t>Write Python function calculating Euclidean L2 norm and Dot Product.</t>
        </is>
      </c>
      <c r="J15" s="16" t="inlineStr">
        <is>
          <t>Explain geometric meaning of dot product (projection and angle alignment).</t>
        </is>
      </c>
      <c r="K15" s="16" t="inlineStr"/>
      <c r="L15" s="17" t="inlineStr"/>
      <c r="M15" s="16" t="inlineStr"/>
    </row>
    <row r="16" ht="24" customHeight="1">
      <c r="A16" s="19" t="inlineStr">
        <is>
          <t>TOP-012</t>
        </is>
      </c>
      <c r="B16" s="22" t="inlineStr">
        <is>
          <t>Mathematics</t>
        </is>
      </c>
      <c r="C16" s="20" t="inlineStr">
        <is>
          <t>Matrix Operations &amp; Inversion</t>
        </is>
      </c>
      <c r="D16" s="19" t="inlineStr">
        <is>
          <t>High</t>
        </is>
      </c>
      <c r="E16" s="22" t="inlineStr">
        <is>
          <t>TOP-011</t>
        </is>
      </c>
      <c r="F16" s="22" t="inlineStr">
        <is>
          <t>RES-018</t>
        </is>
      </c>
      <c r="G16" s="19" t="inlineStr">
        <is>
          <t>Not Started</t>
        </is>
      </c>
      <c r="H16" s="22" t="n">
        <v>2</v>
      </c>
      <c r="I16" s="21" t="inlineStr">
        <is>
          <t>Multiply (4x3) matrix by (3x2) matrix by hand and in Python.</t>
        </is>
      </c>
      <c r="J16" s="21" t="inlineStr">
        <is>
          <t>Understand row-column compatibility and why inversion can be unstable.</t>
        </is>
      </c>
      <c r="K16" s="21" t="inlineStr"/>
      <c r="L16" s="22" t="inlineStr"/>
      <c r="M16" s="21" t="inlineStr"/>
    </row>
    <row r="17" ht="24" customHeight="1">
      <c r="A17" s="14" t="inlineStr">
        <is>
          <t>TOP-013</t>
        </is>
      </c>
      <c r="B17" s="17" t="inlineStr">
        <is>
          <t>Mathematics</t>
        </is>
      </c>
      <c r="C17" s="15" t="inlineStr">
        <is>
          <t>Probability &amp; Bayes' Theorem</t>
        </is>
      </c>
      <c r="D17" s="14" t="inlineStr">
        <is>
          <t>High</t>
        </is>
      </c>
      <c r="E17" s="17" t="inlineStr">
        <is>
          <t>High school math</t>
        </is>
      </c>
      <c r="F17" s="17" t="inlineStr">
        <is>
          <t>RES-001</t>
        </is>
      </c>
      <c r="G17" s="14" t="inlineStr">
        <is>
          <t>Not Started</t>
        </is>
      </c>
      <c r="H17" s="17" t="n">
        <v>2</v>
      </c>
      <c r="I17" s="16" t="inlineStr">
        <is>
          <t>Calculate P(Lead Purchases | Visited Pricing Page) using Bayes' formula.</t>
        </is>
      </c>
      <c r="J17" s="16" t="inlineStr">
        <is>
          <t>Explain prior, likelihood, and posterior probability concepts.</t>
        </is>
      </c>
      <c r="K17" s="16" t="inlineStr"/>
      <c r="L17" s="17" t="inlineStr"/>
      <c r="M17" s="16" t="inlineStr"/>
    </row>
    <row r="18" ht="24" customHeight="1">
      <c r="A18" s="19" t="inlineStr">
        <is>
          <t>TOP-014</t>
        </is>
      </c>
      <c r="B18" s="22" t="inlineStr">
        <is>
          <t>Mathematics</t>
        </is>
      </c>
      <c r="C18" s="20" t="inlineStr">
        <is>
          <t>Descriptive Statistics &amp; Distributions</t>
        </is>
      </c>
      <c r="D18" s="19" t="inlineStr">
        <is>
          <t>Medium</t>
        </is>
      </c>
      <c r="E18" s="22" t="inlineStr">
        <is>
          <t>TOP-013</t>
        </is>
      </c>
      <c r="F18" s="22" t="inlineStr">
        <is>
          <t>RES-001</t>
        </is>
      </c>
      <c r="G18" s="19" t="inlineStr">
        <is>
          <t>Not Started</t>
        </is>
      </c>
      <c r="H18" s="22" t="n">
        <v>2</v>
      </c>
      <c r="I18" s="21" t="inlineStr">
        <is>
          <t>Plot normal vs log-normal distribution of sales deal sizes in Matplotlib.</t>
        </is>
      </c>
      <c r="J18" s="21" t="inlineStr">
        <is>
          <t>Explain mean vs median sensitivity to outliers and standard deviation.</t>
        </is>
      </c>
      <c r="K18" s="21" t="inlineStr"/>
      <c r="L18" s="22" t="inlineStr"/>
      <c r="M18" s="21" t="inlineStr"/>
    </row>
    <row r="19" ht="24" customHeight="1">
      <c r="A19" s="14" t="inlineStr">
        <is>
          <t>TOP-015</t>
        </is>
      </c>
      <c r="B19" s="17" t="inlineStr">
        <is>
          <t>Mathematics</t>
        </is>
      </c>
      <c r="C19" s="15" t="inlineStr">
        <is>
          <t>Derivatives, Gradients &amp; Chain Rule</t>
        </is>
      </c>
      <c r="D19" s="14" t="inlineStr">
        <is>
          <t>High</t>
        </is>
      </c>
      <c r="E19" s="17" t="inlineStr">
        <is>
          <t>Calculus basics</t>
        </is>
      </c>
      <c r="F19" s="17" t="inlineStr">
        <is>
          <t>RES-001</t>
        </is>
      </c>
      <c r="G19" s="14" t="inlineStr">
        <is>
          <t>Not Started</t>
        </is>
      </c>
      <c r="H19" s="17" t="n">
        <v>2</v>
      </c>
      <c r="I19" s="16" t="inlineStr">
        <is>
          <t>Calculate partial derivatives of MSE loss function with respect to weights.</t>
        </is>
      </c>
      <c r="J19" s="16" t="inlineStr">
        <is>
          <t>Deconstruct composite function derivatives using chain rule step-by-step.</t>
        </is>
      </c>
      <c r="K19" s="16" t="inlineStr"/>
      <c r="L19" s="17" t="inlineStr"/>
      <c r="M19" s="16" t="inlineStr"/>
    </row>
    <row r="20" ht="24" customHeight="1">
      <c r="A20" s="19" t="inlineStr">
        <is>
          <t>TOP-016</t>
        </is>
      </c>
      <c r="B20" s="22" t="inlineStr">
        <is>
          <t>Mathematics</t>
        </is>
      </c>
      <c r="C20" s="20" t="inlineStr">
        <is>
          <t>Gradient Descent Optimization</t>
        </is>
      </c>
      <c r="D20" s="19" t="inlineStr">
        <is>
          <t>High</t>
        </is>
      </c>
      <c r="E20" s="22" t="inlineStr">
        <is>
          <t>TOP-015</t>
        </is>
      </c>
      <c r="F20" s="22" t="inlineStr">
        <is>
          <t>RES-001</t>
        </is>
      </c>
      <c r="G20" s="19" t="inlineStr">
        <is>
          <t>Not Started</t>
        </is>
      </c>
      <c r="H20" s="22" t="n">
        <v>2</v>
      </c>
      <c r="I20" s="21" t="inlineStr">
        <is>
          <t>Implement Batch and Stochastic Gradient Descent in Python from scratch.</t>
        </is>
      </c>
      <c r="J20" s="21" t="inlineStr">
        <is>
          <t>Explain learning rate overshoot, oscillations, and convergence criteria.</t>
        </is>
      </c>
      <c r="K20" s="21" t="inlineStr"/>
      <c r="L20" s="22" t="inlineStr"/>
      <c r="M20" s="21" t="inlineStr"/>
    </row>
    <row r="21" ht="24" customHeight="1">
      <c r="A21" s="14" t="inlineStr">
        <is>
          <t>TOP-017</t>
        </is>
      </c>
      <c r="B21" s="17" t="inlineStr">
        <is>
          <t>Machine Learning</t>
        </is>
      </c>
      <c r="C21" s="15" t="inlineStr">
        <is>
          <t>Linear &amp; Polynomial Regression</t>
        </is>
      </c>
      <c r="D21" s="14" t="inlineStr">
        <is>
          <t>High</t>
        </is>
      </c>
      <c r="E21" s="17" t="inlineStr">
        <is>
          <t>TOP-016</t>
        </is>
      </c>
      <c r="F21" s="17" t="inlineStr">
        <is>
          <t>RES-016</t>
        </is>
      </c>
      <c r="G21" s="14" t="inlineStr">
        <is>
          <t>Not Started</t>
        </is>
      </c>
      <c r="H21" s="17" t="n">
        <v>2</v>
      </c>
      <c r="I21" s="16" t="inlineStr">
        <is>
          <t>Predict sales revenue from marketing spend and deal size with Scikit-Learn.</t>
        </is>
      </c>
      <c r="J21" s="16" t="inlineStr">
        <is>
          <t>Interpret regression coefficients, R^2, and residual plots.</t>
        </is>
      </c>
      <c r="K21" s="16" t="inlineStr"/>
      <c r="L21" s="17" t="inlineStr"/>
      <c r="M21" s="16" t="inlineStr"/>
    </row>
    <row r="22" ht="24" customHeight="1">
      <c r="A22" s="19" t="inlineStr">
        <is>
          <t>TOP-018</t>
        </is>
      </c>
      <c r="B22" s="22" t="inlineStr">
        <is>
          <t>Machine Learning</t>
        </is>
      </c>
      <c r="C22" s="20" t="inlineStr">
        <is>
          <t>Logistic Regression &amp; Sigmoid</t>
        </is>
      </c>
      <c r="D22" s="19" t="inlineStr">
        <is>
          <t>High</t>
        </is>
      </c>
      <c r="E22" s="22" t="inlineStr">
        <is>
          <t>TOP-017</t>
        </is>
      </c>
      <c r="F22" s="22" t="inlineStr">
        <is>
          <t>RES-016</t>
        </is>
      </c>
      <c r="G22" s="19" t="inlineStr">
        <is>
          <t>Not Started</t>
        </is>
      </c>
      <c r="H22" s="22" t="n">
        <v>2</v>
      </c>
      <c r="I22" s="21" t="inlineStr">
        <is>
          <t>Train binary classifier predicting lead purchase probability.</t>
        </is>
      </c>
      <c r="J22" s="21" t="inlineStr">
        <is>
          <t>Explain sigmoid curve mapping (-inf, +inf) to [0, 1] probability.</t>
        </is>
      </c>
      <c r="K22" s="21" t="inlineStr"/>
      <c r="L22" s="22" t="inlineStr"/>
      <c r="M22" s="21" t="inlineStr"/>
    </row>
    <row r="23" ht="24" customHeight="1">
      <c r="A23" s="14" t="inlineStr">
        <is>
          <t>TOP-019</t>
        </is>
      </c>
      <c r="B23" s="17" t="inlineStr">
        <is>
          <t>Machine Learning</t>
        </is>
      </c>
      <c r="C23" s="15" t="inlineStr">
        <is>
          <t>Decision Trees &amp; Random Forests</t>
        </is>
      </c>
      <c r="D23" s="14" t="inlineStr">
        <is>
          <t>High</t>
        </is>
      </c>
      <c r="E23" s="17" t="inlineStr">
        <is>
          <t>TOP-018</t>
        </is>
      </c>
      <c r="F23" s="17" t="inlineStr">
        <is>
          <t>RES-016</t>
        </is>
      </c>
      <c r="G23" s="14" t="inlineStr">
        <is>
          <t>Not Started</t>
        </is>
      </c>
      <c r="H23" s="17" t="n">
        <v>2</v>
      </c>
      <c r="I23" s="16" t="inlineStr">
        <is>
          <t>Train Random Forest and extract top-5 predictive lead features.</t>
        </is>
      </c>
      <c r="J23" s="16" t="inlineStr">
        <is>
          <t>Explain Gini impurity, entropy, bagging, and out-of-bag error.</t>
        </is>
      </c>
      <c r="K23" s="16" t="inlineStr"/>
      <c r="L23" s="17" t="inlineStr"/>
      <c r="M23" s="16" t="inlineStr"/>
    </row>
    <row r="24" ht="24" customHeight="1">
      <c r="A24" s="19" t="inlineStr">
        <is>
          <t>TOP-020</t>
        </is>
      </c>
      <c r="B24" s="22" t="inlineStr">
        <is>
          <t>Machine Learning</t>
        </is>
      </c>
      <c r="C24" s="20" t="inlineStr">
        <is>
          <t>Gradient Boosting with XGBoost</t>
        </is>
      </c>
      <c r="D24" s="19" t="inlineStr">
        <is>
          <t>High</t>
        </is>
      </c>
      <c r="E24" s="22" t="inlineStr">
        <is>
          <t>TOP-019</t>
        </is>
      </c>
      <c r="F24" s="22" t="inlineStr">
        <is>
          <t>RES-016</t>
        </is>
      </c>
      <c r="G24" s="19" t="inlineStr">
        <is>
          <t>Not Started</t>
        </is>
      </c>
      <c r="H24" s="22" t="n">
        <v>2</v>
      </c>
      <c r="I24" s="21" t="inlineStr">
        <is>
          <t>Train XGBoost model on customer churn tabular dataset.</t>
        </is>
      </c>
      <c r="J24" s="21" t="inlineStr">
        <is>
          <t>Explain boosting mechanism (fitting trees on residual errors sequentially).</t>
        </is>
      </c>
      <c r="K24" s="21" t="inlineStr"/>
      <c r="L24" s="22" t="inlineStr"/>
      <c r="M24" s="21" t="inlineStr"/>
    </row>
    <row r="25" ht="24" customHeight="1">
      <c r="A25" s="14" t="inlineStr">
        <is>
          <t>TOP-021</t>
        </is>
      </c>
      <c r="B25" s="17" t="inlineStr">
        <is>
          <t>Machine Learning</t>
        </is>
      </c>
      <c r="C25" s="15" t="inlineStr">
        <is>
          <t>Clustering with K-Means &amp; PCA</t>
        </is>
      </c>
      <c r="D25" s="14" t="inlineStr">
        <is>
          <t>Medium</t>
        </is>
      </c>
      <c r="E25" s="17" t="inlineStr">
        <is>
          <t>TOP-012</t>
        </is>
      </c>
      <c r="F25" s="17" t="inlineStr">
        <is>
          <t>RES-016</t>
        </is>
      </c>
      <c r="G25" s="14" t="inlineStr">
        <is>
          <t>Not Started</t>
        </is>
      </c>
      <c r="H25" s="17" t="n">
        <v>2</v>
      </c>
      <c r="I25" s="16" t="inlineStr">
        <is>
          <t>Cluster sales prospects into 4 behavioral segments and visualize with PCA.</t>
        </is>
      </c>
      <c r="J25" s="16" t="inlineStr">
        <is>
          <t>Select optimal k using the elbow method and silhouette score.</t>
        </is>
      </c>
      <c r="K25" s="16" t="inlineStr"/>
      <c r="L25" s="17" t="inlineStr"/>
      <c r="M25" s="16" t="inlineStr"/>
    </row>
    <row r="26" ht="24" customHeight="1">
      <c r="A26" s="19" t="inlineStr">
        <is>
          <t>TOP-022</t>
        </is>
      </c>
      <c r="B26" s="22" t="inlineStr">
        <is>
          <t>Machine Learning</t>
        </is>
      </c>
      <c r="C26" s="20" t="inlineStr">
        <is>
          <t>Feature Engineering &amp; Preprocessing</t>
        </is>
      </c>
      <c r="D26" s="19" t="inlineStr">
        <is>
          <t>High</t>
        </is>
      </c>
      <c r="E26" s="22" t="inlineStr">
        <is>
          <t>TOP-017</t>
        </is>
      </c>
      <c r="F26" s="22" t="inlineStr">
        <is>
          <t>RES-016</t>
        </is>
      </c>
      <c r="G26" s="19" t="inlineStr">
        <is>
          <t>Not Started</t>
        </is>
      </c>
      <c r="H26" s="22" t="n">
        <v>2</v>
      </c>
      <c r="I26" s="21" t="inlineStr">
        <is>
          <t>Build Scikit-Learn Pipeline with OneHotEncoder, StandardScaler, and Imputer.</t>
        </is>
      </c>
      <c r="J26" s="21" t="inlineStr">
        <is>
          <t>Pipeline runs transform on test set without leaking train statistics.</t>
        </is>
      </c>
      <c r="K26" s="21" t="inlineStr"/>
      <c r="L26" s="22" t="inlineStr"/>
      <c r="M26" s="21" t="inlineStr"/>
    </row>
    <row r="27" ht="24" customHeight="1">
      <c r="A27" s="14" t="inlineStr">
        <is>
          <t>TOP-023</t>
        </is>
      </c>
      <c r="B27" s="17" t="inlineStr">
        <is>
          <t>Machine Learning</t>
        </is>
      </c>
      <c r="C27" s="15" t="inlineStr">
        <is>
          <t>Train/Test Split &amp; K-Fold CV</t>
        </is>
      </c>
      <c r="D27" s="14" t="inlineStr">
        <is>
          <t>High</t>
        </is>
      </c>
      <c r="E27" s="17" t="inlineStr">
        <is>
          <t>TOP-022</t>
        </is>
      </c>
      <c r="F27" s="17" t="inlineStr">
        <is>
          <t>RES-016</t>
        </is>
      </c>
      <c r="G27" s="14" t="inlineStr">
        <is>
          <t>Not Started</t>
        </is>
      </c>
      <c r="H27" s="17" t="n">
        <v>2</v>
      </c>
      <c r="I27" s="16" t="inlineStr">
        <is>
          <t>Implement 5-fold Stratified Cross-Validation on imbalanced sales dataset.</t>
        </is>
      </c>
      <c r="J27" s="16" t="inlineStr">
        <is>
          <t>Verify test split distribution matches real-world production ratio.</t>
        </is>
      </c>
      <c r="K27" s="16" t="inlineStr"/>
      <c r="L27" s="17" t="inlineStr"/>
      <c r="M27" s="16" t="inlineStr"/>
    </row>
    <row r="28" ht="24" customHeight="1">
      <c r="A28" s="19" t="inlineStr">
        <is>
          <t>TOP-024</t>
        </is>
      </c>
      <c r="B28" s="22" t="inlineStr">
        <is>
          <t>Machine Learning</t>
        </is>
      </c>
      <c r="C28" s="20" t="inlineStr">
        <is>
          <t>Overfitting, Regularization &amp; Leakage</t>
        </is>
      </c>
      <c r="D28" s="19" t="inlineStr">
        <is>
          <t>High</t>
        </is>
      </c>
      <c r="E28" s="22" t="inlineStr">
        <is>
          <t>TOP-023</t>
        </is>
      </c>
      <c r="F28" s="22" t="inlineStr">
        <is>
          <t>RES-016</t>
        </is>
      </c>
      <c r="G28" s="19" t="inlineStr">
        <is>
          <t>Not Started</t>
        </is>
      </c>
      <c r="H28" s="22" t="n">
        <v>2</v>
      </c>
      <c r="I28" s="21" t="inlineStr">
        <is>
          <t>Diagnose overfitting via train vs validation loss curves; apply L1/L2 penalties.</t>
        </is>
      </c>
      <c r="J28" s="21" t="inlineStr">
        <is>
          <t>Identify 3 subtle data leakage traps in sales pipeline data.</t>
        </is>
      </c>
      <c r="K28" s="21" t="inlineStr"/>
      <c r="L28" s="22" t="inlineStr"/>
      <c r="M28" s="21" t="inlineStr"/>
    </row>
    <row r="29" ht="24" customHeight="1">
      <c r="A29" s="14" t="inlineStr">
        <is>
          <t>TOP-025</t>
        </is>
      </c>
      <c r="B29" s="17" t="inlineStr">
        <is>
          <t>Machine Learning</t>
        </is>
      </c>
      <c r="C29" s="15" t="inlineStr">
        <is>
          <t>Evaluation Metrics: Precision, Recall, ROC</t>
        </is>
      </c>
      <c r="D29" s="14" t="inlineStr">
        <is>
          <t>High</t>
        </is>
      </c>
      <c r="E29" s="17" t="inlineStr">
        <is>
          <t>TOP-024</t>
        </is>
      </c>
      <c r="F29" s="17" t="inlineStr">
        <is>
          <t>RES-016</t>
        </is>
      </c>
      <c r="G29" s="14" t="inlineStr">
        <is>
          <t>Not Started</t>
        </is>
      </c>
      <c r="H29" s="17" t="n">
        <v>2</v>
      </c>
      <c r="I29" s="16" t="inlineStr">
        <is>
          <t>Plot Precision-Recall curve and choose threshold maximizing high-value lead ROI.</t>
        </is>
      </c>
      <c r="J29" s="16" t="inlineStr">
        <is>
          <t>Explain why accuracy is misleading when positive class is only 2% of data.</t>
        </is>
      </c>
      <c r="K29" s="16" t="inlineStr"/>
      <c r="L29" s="17" t="inlineStr"/>
      <c r="M29" s="16" t="inlineStr"/>
    </row>
    <row r="30" ht="24" customHeight="1">
      <c r="A30" s="19" t="inlineStr">
        <is>
          <t>TOP-026</t>
        </is>
      </c>
      <c r="B30" s="22" t="inlineStr">
        <is>
          <t>Deep Learning</t>
        </is>
      </c>
      <c r="C30" s="20" t="inlineStr">
        <is>
          <t>PyTorch Tensors, Shapes &amp; CUDA</t>
        </is>
      </c>
      <c r="D30" s="19" t="inlineStr">
        <is>
          <t>High</t>
        </is>
      </c>
      <c r="E30" s="22" t="inlineStr">
        <is>
          <t>TOP-012</t>
        </is>
      </c>
      <c r="F30" s="22" t="inlineStr">
        <is>
          <t>RES-014</t>
        </is>
      </c>
      <c r="G30" s="19" t="inlineStr">
        <is>
          <t>Not Started</t>
        </is>
      </c>
      <c r="H30" s="22" t="n">
        <v>2</v>
      </c>
      <c r="I30" s="21" t="inlineStr">
        <is>
          <t>Perform tensor operations on GPU; reshape with view() vs reshape().</t>
        </is>
      </c>
      <c r="J30" s="21" t="inlineStr">
        <is>
          <t>Manage memory and device transfers (cpu vs cuda) without errors.</t>
        </is>
      </c>
      <c r="K30" s="21" t="inlineStr"/>
      <c r="L30" s="22" t="inlineStr"/>
      <c r="M30" s="21" t="inlineStr"/>
    </row>
    <row r="31" ht="24" customHeight="1">
      <c r="A31" s="14" t="inlineStr">
        <is>
          <t>TOP-027</t>
        </is>
      </c>
      <c r="B31" s="17" t="inlineStr">
        <is>
          <t>Deep Learning</t>
        </is>
      </c>
      <c r="C31" s="15" t="inlineStr">
        <is>
          <t>Multi-Layer Perceptron (MLP)</t>
        </is>
      </c>
      <c r="D31" s="14" t="inlineStr">
        <is>
          <t>High</t>
        </is>
      </c>
      <c r="E31" s="17" t="inlineStr">
        <is>
          <t>TOP-026</t>
        </is>
      </c>
      <c r="F31" s="17" t="inlineStr">
        <is>
          <t>RES-014</t>
        </is>
      </c>
      <c r="G31" s="14" t="inlineStr">
        <is>
          <t>Not Started</t>
        </is>
      </c>
      <c r="H31" s="17" t="n">
        <v>2</v>
      </c>
      <c r="I31" s="16" t="inlineStr">
        <is>
          <t>Build PyTorch `nn.Module` with 2 hidden layers, ReLU, and Softmax.</t>
        </is>
      </c>
      <c r="J31" s="16" t="inlineStr">
        <is>
          <t>Model trains smoothly and achieves &gt; 85% accuracy on benchmark data.</t>
        </is>
      </c>
      <c r="K31" s="16" t="inlineStr"/>
      <c r="L31" s="17" t="inlineStr"/>
      <c r="M31" s="16" t="inlineStr"/>
    </row>
    <row r="32" ht="24" customHeight="1">
      <c r="A32" s="19" t="inlineStr">
        <is>
          <t>TOP-028</t>
        </is>
      </c>
      <c r="B32" s="22" t="inlineStr">
        <is>
          <t>Deep Learning</t>
        </is>
      </c>
      <c r="C32" s="20" t="inlineStr">
        <is>
          <t>Activation &amp; Loss Functions</t>
        </is>
      </c>
      <c r="D32" s="19" t="inlineStr">
        <is>
          <t>High</t>
        </is>
      </c>
      <c r="E32" s="22" t="inlineStr">
        <is>
          <t>TOP-027</t>
        </is>
      </c>
      <c r="F32" s="22" t="inlineStr">
        <is>
          <t>RES-014</t>
        </is>
      </c>
      <c r="G32" s="19" t="inlineStr">
        <is>
          <t>Not Started</t>
        </is>
      </c>
      <c r="H32" s="22" t="n">
        <v>2</v>
      </c>
      <c r="I32" s="21" t="inlineStr">
        <is>
          <t>Compare ReLU vs GELU vs LeakyReLU; CrossEntropyLoss vs BCEWithLogitsLoss.</t>
        </is>
      </c>
      <c r="J32" s="21" t="inlineStr">
        <is>
          <t>Explain dying ReLU problem and numerical stability of logit losses.</t>
        </is>
      </c>
      <c r="K32" s="21" t="inlineStr"/>
      <c r="L32" s="22" t="inlineStr"/>
      <c r="M32" s="21" t="inlineStr"/>
    </row>
    <row r="33" ht="24" customHeight="1">
      <c r="A33" s="14" t="inlineStr">
        <is>
          <t>TOP-029</t>
        </is>
      </c>
      <c r="B33" s="17" t="inlineStr">
        <is>
          <t>Deep Learning</t>
        </is>
      </c>
      <c r="C33" s="15" t="inlineStr">
        <is>
          <t>Backpropagation &amp; Optimizers</t>
        </is>
      </c>
      <c r="D33" s="14" t="inlineStr">
        <is>
          <t>High</t>
        </is>
      </c>
      <c r="E33" s="17" t="inlineStr">
        <is>
          <t>TOP-028</t>
        </is>
      </c>
      <c r="F33" s="17" t="inlineStr">
        <is>
          <t>RES-014</t>
        </is>
      </c>
      <c r="G33" s="14" t="inlineStr">
        <is>
          <t>Not Started</t>
        </is>
      </c>
      <c r="H33" s="17" t="n">
        <v>2</v>
      </c>
      <c r="I33" s="16" t="inlineStr">
        <is>
          <t>Trace forward/backward gradient flow; compare SGD with momentum vs AdamW.</t>
        </is>
      </c>
      <c r="J33" s="16" t="inlineStr">
        <is>
          <t>Explain why AdamW decouples weight decay from gradient updates.</t>
        </is>
      </c>
      <c r="K33" s="16" t="inlineStr"/>
      <c r="L33" s="17" t="inlineStr"/>
      <c r="M33" s="16" t="inlineStr"/>
    </row>
    <row r="34" ht="24" customHeight="1">
      <c r="A34" s="19" t="inlineStr">
        <is>
          <t>TOP-030</t>
        </is>
      </c>
      <c r="B34" s="22" t="inlineStr">
        <is>
          <t>Deep Learning</t>
        </is>
      </c>
      <c r="C34" s="20" t="inlineStr">
        <is>
          <t>PyTorch Dataset &amp; DataLoader</t>
        </is>
      </c>
      <c r="D34" s="19" t="inlineStr">
        <is>
          <t>High</t>
        </is>
      </c>
      <c r="E34" s="22" t="inlineStr">
        <is>
          <t>TOP-029</t>
        </is>
      </c>
      <c r="F34" s="22" t="inlineStr">
        <is>
          <t>RES-014</t>
        </is>
      </c>
      <c r="G34" s="19" t="inlineStr">
        <is>
          <t>Not Started</t>
        </is>
      </c>
      <c r="H34" s="22" t="n">
        <v>2</v>
      </c>
      <c r="I34" s="21" t="inlineStr">
        <is>
          <t>Build custom Dataset streaming sales conversation text and tabular metadata.</t>
        </is>
      </c>
      <c r="J34" s="21" t="inlineStr">
        <is>
          <t>Batching, shuffling, and worker multiprocessing execute without bottlenecks.</t>
        </is>
      </c>
      <c r="K34" s="21" t="inlineStr"/>
      <c r="L34" s="22" t="inlineStr"/>
      <c r="M34" s="21" t="inlineStr"/>
    </row>
    <row r="35" ht="24" customHeight="1">
      <c r="A35" s="14" t="inlineStr">
        <is>
          <t>TOP-031</t>
        </is>
      </c>
      <c r="B35" s="17" t="inlineStr">
        <is>
          <t>LLMs</t>
        </is>
      </c>
      <c r="C35" s="15" t="inlineStr">
        <is>
          <t>Byte-Pair Encoding (BPE) Tokenization</t>
        </is>
      </c>
      <c r="D35" s="14" t="inlineStr">
        <is>
          <t>High</t>
        </is>
      </c>
      <c r="E35" s="17" t="inlineStr">
        <is>
          <t>TOP-001</t>
        </is>
      </c>
      <c r="F35" s="17" t="inlineStr">
        <is>
          <t>RES-012</t>
        </is>
      </c>
      <c r="G35" s="14" t="inlineStr">
        <is>
          <t>Not Started</t>
        </is>
      </c>
      <c r="H35" s="17" t="n">
        <v>2</v>
      </c>
      <c r="I35" s="16" t="inlineStr">
        <is>
          <t>Train mini BPE tokenizer on 500 sales emails using HuggingFace Tokenizers.</t>
        </is>
      </c>
      <c r="J35" s="16" t="inlineStr">
        <is>
          <t>Explain why numbers and non-English scripts take more tokens.</t>
        </is>
      </c>
      <c r="K35" s="16" t="inlineStr"/>
      <c r="L35" s="17" t="inlineStr"/>
      <c r="M35" s="16" t="inlineStr"/>
    </row>
    <row r="36" ht="24" customHeight="1">
      <c r="A36" s="19" t="inlineStr">
        <is>
          <t>TOP-032</t>
        </is>
      </c>
      <c r="B36" s="22" t="inlineStr">
        <is>
          <t>LLMs</t>
        </is>
      </c>
      <c r="C36" s="20" t="inlineStr">
        <is>
          <t>Self-Attention &amp; Multi-Head Attention</t>
        </is>
      </c>
      <c r="D36" s="19" t="inlineStr">
        <is>
          <t>High</t>
        </is>
      </c>
      <c r="E36" s="22" t="inlineStr">
        <is>
          <t>TOP-026</t>
        </is>
      </c>
      <c r="F36" s="22" t="inlineStr">
        <is>
          <t>RES-013</t>
        </is>
      </c>
      <c r="G36" s="19" t="inlineStr">
        <is>
          <t>Not Started</t>
        </is>
      </c>
      <c r="H36" s="22" t="n">
        <v>1</v>
      </c>
      <c r="I36" s="21" t="inlineStr">
        <is>
          <t>Implement `MultiHeadAttention(nn.Module)` in pure PyTorch.</t>
        </is>
      </c>
      <c r="J36" s="21" t="inlineStr">
        <is>
          <t>QK^T / sqrt(d_k) equation correctly computed with causal attention mask.</t>
        </is>
      </c>
      <c r="K36" s="21" t="inlineStr"/>
      <c r="L36" s="22" t="inlineStr"/>
      <c r="M36" s="21" t="inlineStr"/>
    </row>
    <row r="37" ht="24" customHeight="1">
      <c r="A37" s="14" t="inlineStr">
        <is>
          <t>TOP-033</t>
        </is>
      </c>
      <c r="B37" s="17" t="inlineStr">
        <is>
          <t>LLMs</t>
        </is>
      </c>
      <c r="C37" s="15" t="inlineStr">
        <is>
          <t>Transformer Architecture Internals</t>
        </is>
      </c>
      <c r="D37" s="14" t="inlineStr">
        <is>
          <t>High</t>
        </is>
      </c>
      <c r="E37" s="17" t="inlineStr">
        <is>
          <t>TOP-032</t>
        </is>
      </c>
      <c r="F37" s="17" t="inlineStr">
        <is>
          <t>RES-013</t>
        </is>
      </c>
      <c r="G37" s="14" t="inlineStr">
        <is>
          <t>Not Started</t>
        </is>
      </c>
      <c r="H37" s="17" t="n">
        <v>1</v>
      </c>
      <c r="I37" s="16" t="inlineStr">
        <is>
          <t>Draw Transformer block diagram: LayerNorm, MHA, Residual, FeedForward.</t>
        </is>
      </c>
      <c r="J37" s="16" t="inlineStr">
        <is>
          <t>Explain encoder-only vs decoder-only architectures and their use cases.</t>
        </is>
      </c>
      <c r="K37" s="16" t="inlineStr"/>
      <c r="L37" s="17" t="inlineStr"/>
      <c r="M37" s="16" t="inlineStr"/>
    </row>
    <row r="38" ht="24" customHeight="1">
      <c r="A38" s="19" t="inlineStr">
        <is>
          <t>TOP-034</t>
        </is>
      </c>
      <c r="B38" s="22" t="inlineStr">
        <is>
          <t>LLMs</t>
        </is>
      </c>
      <c r="C38" s="20" t="inlineStr">
        <is>
          <t>Inference, KV Caching &amp; Latency</t>
        </is>
      </c>
      <c r="D38" s="19" t="inlineStr">
        <is>
          <t>High</t>
        </is>
      </c>
      <c r="E38" s="22" t="inlineStr">
        <is>
          <t>TOP-033</t>
        </is>
      </c>
      <c r="F38" s="22" t="inlineStr">
        <is>
          <t>RES-009</t>
        </is>
      </c>
      <c r="G38" s="19" t="inlineStr">
        <is>
          <t>Not Started</t>
        </is>
      </c>
      <c r="H38" s="22" t="n">
        <v>2</v>
      </c>
      <c r="I38" s="21" t="inlineStr">
        <is>
          <t>Measure token generation speed with and without KV caching enabled.</t>
        </is>
      </c>
      <c r="J38" s="21" t="inlineStr">
        <is>
          <t>Explain memory consumption of KV cache across long multi-turn contexts.</t>
        </is>
      </c>
      <c r="K38" s="21" t="inlineStr"/>
      <c r="L38" s="22" t="inlineStr"/>
      <c r="M38" s="21" t="inlineStr"/>
    </row>
    <row r="39" ht="24" customHeight="1">
      <c r="A39" s="14" t="inlineStr">
        <is>
          <t>TOP-035</t>
        </is>
      </c>
      <c r="B39" s="17" t="inlineStr">
        <is>
          <t>LLMs</t>
        </is>
      </c>
      <c r="C39" s="15" t="inlineStr">
        <is>
          <t>Quantization: GGUF, AWQ, bitsandbytes</t>
        </is>
      </c>
      <c r="D39" s="14" t="inlineStr">
        <is>
          <t>High</t>
        </is>
      </c>
      <c r="E39" s="17" t="inlineStr">
        <is>
          <t>TOP-034</t>
        </is>
      </c>
      <c r="F39" s="17" t="inlineStr">
        <is>
          <t>RES-009</t>
        </is>
      </c>
      <c r="G39" s="14" t="inlineStr">
        <is>
          <t>Not Started</t>
        </is>
      </c>
      <c r="H39" s="17" t="n">
        <v>2</v>
      </c>
      <c r="I39" s="16" t="inlineStr">
        <is>
          <t>Run 4-bit quantized Llama-3 model locally using Ollama / llama.cpp.</t>
        </is>
      </c>
      <c r="J39" s="16" t="inlineStr">
        <is>
          <t>Explain precision loss trade-off between FP16, INT8, and INT4.</t>
        </is>
      </c>
      <c r="K39" s="16" t="inlineStr"/>
      <c r="L39" s="17" t="inlineStr"/>
      <c r="M39" s="16" t="inlineStr"/>
    </row>
    <row r="40" ht="24" customHeight="1">
      <c r="A40" s="19" t="inlineStr">
        <is>
          <t>TOP-036</t>
        </is>
      </c>
      <c r="B40" s="22" t="inlineStr">
        <is>
          <t>RAG</t>
        </is>
      </c>
      <c r="C40" s="20" t="inlineStr">
        <is>
          <t>Chunking Strategies &amp; Metadata</t>
        </is>
      </c>
      <c r="D40" s="19" t="inlineStr">
        <is>
          <t>High</t>
        </is>
      </c>
      <c r="E40" s="22" t="inlineStr">
        <is>
          <t>TOP-005</t>
        </is>
      </c>
      <c r="F40" s="22" t="inlineStr">
        <is>
          <t>RES-020</t>
        </is>
      </c>
      <c r="G40" s="19" t="inlineStr">
        <is>
          <t>Not Started</t>
        </is>
      </c>
      <c r="H40" s="22" t="n">
        <v>2</v>
      </c>
      <c r="I40" s="21" t="inlineStr">
        <is>
          <t>Chunk a 30-page software manual with recursive character and markdown splitting.</t>
        </is>
      </c>
      <c r="J40" s="21" t="inlineStr">
        <is>
          <t>Chunks preserve complete tables and include document title metadata.</t>
        </is>
      </c>
      <c r="K40" s="21" t="inlineStr"/>
      <c r="L40" s="22" t="inlineStr"/>
      <c r="M40" s="21" t="inlineStr"/>
    </row>
    <row r="41" ht="24" customHeight="1">
      <c r="A41" s="14" t="inlineStr">
        <is>
          <t>TOP-037</t>
        </is>
      </c>
      <c r="B41" s="17" t="inlineStr">
        <is>
          <t>RAG</t>
        </is>
      </c>
      <c r="C41" s="15" t="inlineStr">
        <is>
          <t>Embedding Models &amp; Cosine Search</t>
        </is>
      </c>
      <c r="D41" s="14" t="inlineStr">
        <is>
          <t>High</t>
        </is>
      </c>
      <c r="E41" s="17" t="inlineStr">
        <is>
          <t>TOP-011</t>
        </is>
      </c>
      <c r="F41" s="17" t="inlineStr">
        <is>
          <t>RES-020</t>
        </is>
      </c>
      <c r="G41" s="14" t="inlineStr">
        <is>
          <t>Not Started</t>
        </is>
      </c>
      <c r="H41" s="17" t="n">
        <v>2</v>
      </c>
      <c r="I41" s="16" t="inlineStr">
        <is>
          <t>Embed 500 product FAQs with text-embedding-3-small and query top-3 matches.</t>
        </is>
      </c>
      <c r="J41" s="16" t="inlineStr">
        <is>
          <t>Explain embedding dimensions, normalization, and semantic drift.</t>
        </is>
      </c>
      <c r="K41" s="16" t="inlineStr"/>
      <c r="L41" s="17" t="inlineStr"/>
      <c r="M41" s="16" t="inlineStr"/>
    </row>
    <row r="42" ht="24" customHeight="1">
      <c r="A42" s="19" t="inlineStr">
        <is>
          <t>TOP-038</t>
        </is>
      </c>
      <c r="B42" s="22" t="inlineStr">
        <is>
          <t>RAG</t>
        </is>
      </c>
      <c r="C42" s="20" t="inlineStr">
        <is>
          <t>Vector Databases &amp; PostgreSQL pgvector</t>
        </is>
      </c>
      <c r="D42" s="19" t="inlineStr">
        <is>
          <t>High</t>
        </is>
      </c>
      <c r="E42" s="22" t="inlineStr">
        <is>
          <t>TOP-037</t>
        </is>
      </c>
      <c r="F42" s="22" t="inlineStr">
        <is>
          <t>RES-023</t>
        </is>
      </c>
      <c r="G42" s="19" t="inlineStr">
        <is>
          <t>Not Started</t>
        </is>
      </c>
      <c r="H42" s="22" t="n">
        <v>2</v>
      </c>
      <c r="I42" s="21" t="inlineStr">
        <is>
          <t>Set up PostgreSQL table with `vector(1536)` and HNSW index in Docker.</t>
        </is>
      </c>
      <c r="J42" s="21" t="inlineStr">
        <is>
          <t>Query executes in &lt; 15ms combining SQL WHERE clause with vector similarity.</t>
        </is>
      </c>
      <c r="K42" s="21" t="inlineStr"/>
      <c r="L42" s="22" t="inlineStr"/>
      <c r="M42" s="21" t="inlineStr"/>
    </row>
    <row r="43" ht="24" customHeight="1">
      <c r="A43" s="14" t="inlineStr">
        <is>
          <t>TOP-039</t>
        </is>
      </c>
      <c r="B43" s="17" t="inlineStr">
        <is>
          <t>RAG</t>
        </is>
      </c>
      <c r="C43" s="15" t="inlineStr">
        <is>
          <t>Hybrid Search &amp; Cross-Encoder Rerank</t>
        </is>
      </c>
      <c r="D43" s="14" t="inlineStr">
        <is>
          <t>High</t>
        </is>
      </c>
      <c r="E43" s="17" t="inlineStr">
        <is>
          <t>TOP-038</t>
        </is>
      </c>
      <c r="F43" s="17" t="inlineStr">
        <is>
          <t>RES-020</t>
        </is>
      </c>
      <c r="G43" s="14" t="inlineStr">
        <is>
          <t>Not Started</t>
        </is>
      </c>
      <c r="H43" s="17" t="n">
        <v>2</v>
      </c>
      <c r="I43" s="16" t="inlineStr">
        <is>
          <t>Build pipeline combining BM25 keyword matching with dense vector reranking.</t>
        </is>
      </c>
      <c r="J43" s="16" t="inlineStr">
        <is>
          <t>Recall increases by &gt; 15% on queries with specific product part numbers.</t>
        </is>
      </c>
      <c r="K43" s="16" t="inlineStr"/>
      <c r="L43" s="17" t="inlineStr"/>
      <c r="M43" s="16" t="inlineStr"/>
    </row>
    <row r="44" ht="24" customHeight="1">
      <c r="A44" s="19" t="inlineStr">
        <is>
          <t>TOP-040</t>
        </is>
      </c>
      <c r="B44" s="22" t="inlineStr">
        <is>
          <t>RAG</t>
        </is>
      </c>
      <c r="C44" s="20" t="inlineStr">
        <is>
          <t>Citations, Grounding &amp; RAG Evaluation</t>
        </is>
      </c>
      <c r="D44" s="19" t="inlineStr">
        <is>
          <t>High</t>
        </is>
      </c>
      <c r="E44" s="22" t="inlineStr">
        <is>
          <t>TOP-039</t>
        </is>
      </c>
      <c r="F44" s="22" t="inlineStr">
        <is>
          <t>RES-004</t>
        </is>
      </c>
      <c r="G44" s="19" t="inlineStr">
        <is>
          <t>Not Started</t>
        </is>
      </c>
      <c r="H44" s="22" t="n">
        <v>2</v>
      </c>
      <c r="I44" s="21" t="inlineStr">
        <is>
          <t>Force model to output bracketed citations [Doc 1, p. 4] and test with RAGAS.</t>
        </is>
      </c>
      <c r="J44" s="21" t="inlineStr">
        <is>
          <t>Faithfulness score &gt; 0.90; model refuses questions outside context.</t>
        </is>
      </c>
      <c r="K44" s="21" t="inlineStr"/>
      <c r="L44" s="22" t="inlineStr"/>
      <c r="M44" s="21" t="inlineStr"/>
    </row>
    <row r="45" ht="24" customHeight="1">
      <c r="A45" s="14" t="inlineStr">
        <is>
          <t>TOP-041</t>
        </is>
      </c>
      <c r="B45" s="17" t="inlineStr">
        <is>
          <t>AI Agents</t>
        </is>
      </c>
      <c r="C45" s="15" t="inlineStr">
        <is>
          <t>Tool Calling &amp; Parameter Schemas</t>
        </is>
      </c>
      <c r="D45" s="14" t="inlineStr">
        <is>
          <t>High</t>
        </is>
      </c>
      <c r="E45" s="17" t="inlineStr">
        <is>
          <t>TOP-005</t>
        </is>
      </c>
      <c r="F45" s="17" t="inlineStr">
        <is>
          <t>RES-006</t>
        </is>
      </c>
      <c r="G45" s="14" t="inlineStr">
        <is>
          <t>Not Started</t>
        </is>
      </c>
      <c r="H45" s="17" t="n">
        <v>2</v>
      </c>
      <c r="I45" s="16" t="inlineStr">
        <is>
          <t>Write Pydantic tool schemas for CRM querying, email sending, calendar booking.</t>
        </is>
      </c>
      <c r="J45" s="16" t="inlineStr">
        <is>
          <t>LLM invokes tool with exact parameter types matching schema.</t>
        </is>
      </c>
      <c r="K45" s="16" t="inlineStr"/>
      <c r="L45" s="17" t="inlineStr"/>
      <c r="M45" s="16" t="inlineStr"/>
    </row>
    <row r="46" ht="24" customHeight="1">
      <c r="A46" s="19" t="inlineStr">
        <is>
          <t>TOP-042</t>
        </is>
      </c>
      <c r="B46" s="22" t="inlineStr">
        <is>
          <t>AI Agents</t>
        </is>
      </c>
      <c r="C46" s="20" t="inlineStr">
        <is>
          <t>ReAct Execution Loop</t>
        </is>
      </c>
      <c r="D46" s="19" t="inlineStr">
        <is>
          <t>High</t>
        </is>
      </c>
      <c r="E46" s="22" t="inlineStr">
        <is>
          <t>TOP-041</t>
        </is>
      </c>
      <c r="F46" s="22" t="inlineStr">
        <is>
          <t>RES-020</t>
        </is>
      </c>
      <c r="G46" s="19" t="inlineStr">
        <is>
          <t>Not Started</t>
        </is>
      </c>
      <c r="H46" s="22" t="n">
        <v>2</v>
      </c>
      <c r="I46" s="21" t="inlineStr">
        <is>
          <t>Code autonomous ReAct loop executing tools and feeding observations back.</t>
        </is>
      </c>
      <c r="J46" s="21" t="inlineStr">
        <is>
          <t>Loop handles tool execution failures and halts when final answer reached.</t>
        </is>
      </c>
      <c r="K46" s="21" t="inlineStr"/>
      <c r="L46" s="22" t="inlineStr"/>
      <c r="M46" s="21" t="inlineStr"/>
    </row>
    <row r="47" ht="24" customHeight="1">
      <c r="A47" s="14" t="inlineStr">
        <is>
          <t>TOP-043</t>
        </is>
      </c>
      <c r="B47" s="17" t="inlineStr">
        <is>
          <t>AI Agents</t>
        </is>
      </c>
      <c r="C47" s="15" t="inlineStr">
        <is>
          <t>Conversation State &amp; Persistence</t>
        </is>
      </c>
      <c r="D47" s="14" t="inlineStr">
        <is>
          <t>High</t>
        </is>
      </c>
      <c r="E47" s="17" t="inlineStr">
        <is>
          <t>TOP-042</t>
        </is>
      </c>
      <c r="F47" s="17" t="inlineStr">
        <is>
          <t>RES-020</t>
        </is>
      </c>
      <c r="G47" s="14" t="inlineStr">
        <is>
          <t>Not Started</t>
        </is>
      </c>
      <c r="H47" s="17" t="n">
        <v>2</v>
      </c>
      <c r="I47" s="16" t="inlineStr">
        <is>
          <t>Persist multi-turn conversation graph state in SQLite / PostgreSQL database.</t>
        </is>
      </c>
      <c r="J47" s="16" t="inlineStr">
        <is>
          <t>Agent seamlessly resumes conversation context after application server reboot.</t>
        </is>
      </c>
      <c r="K47" s="16" t="inlineStr"/>
      <c r="L47" s="17" t="inlineStr"/>
      <c r="M47" s="16" t="inlineStr"/>
    </row>
    <row r="48" ht="24" customHeight="1">
      <c r="A48" s="19" t="inlineStr">
        <is>
          <t>TOP-044</t>
        </is>
      </c>
      <c r="B48" s="22" t="inlineStr">
        <is>
          <t>AI Agents</t>
        </is>
      </c>
      <c r="C48" s="20" t="inlineStr">
        <is>
          <t>State Graphs with LangGraph</t>
        </is>
      </c>
      <c r="D48" s="19" t="inlineStr">
        <is>
          <t>High</t>
        </is>
      </c>
      <c r="E48" s="22" t="inlineStr">
        <is>
          <t>TOP-043</t>
        </is>
      </c>
      <c r="F48" s="22" t="inlineStr">
        <is>
          <t>RES-020</t>
        </is>
      </c>
      <c r="G48" s="19" t="inlineStr">
        <is>
          <t>Not Started</t>
        </is>
      </c>
      <c r="H48" s="22" t="n">
        <v>2</v>
      </c>
      <c r="I48" s="21" t="inlineStr">
        <is>
          <t>Build LangGraph state graph with conditional edges routing based on lead intent.</t>
        </is>
      </c>
      <c r="J48" s="21" t="inlineStr">
        <is>
          <t>State transitions execute deterministically without deadlocks.</t>
        </is>
      </c>
      <c r="K48" s="21" t="inlineStr"/>
      <c r="L48" s="22" t="inlineStr"/>
      <c r="M48" s="21" t="inlineStr"/>
    </row>
    <row r="49" ht="24" customHeight="1">
      <c r="A49" s="14" t="inlineStr">
        <is>
          <t>TOP-045</t>
        </is>
      </c>
      <c r="B49" s="17" t="inlineStr">
        <is>
          <t>AI Agents</t>
        </is>
      </c>
      <c r="C49" s="15" t="inlineStr">
        <is>
          <t>Human-in-the-Loop (HITL) Checkpoints</t>
        </is>
      </c>
      <c r="D49" s="14" t="inlineStr">
        <is>
          <t>High</t>
        </is>
      </c>
      <c r="E49" s="17" t="inlineStr">
        <is>
          <t>TOP-044</t>
        </is>
      </c>
      <c r="F49" s="17" t="inlineStr">
        <is>
          <t>RES-020</t>
        </is>
      </c>
      <c r="G49" s="14" t="inlineStr">
        <is>
          <t>Not Started</t>
        </is>
      </c>
      <c r="H49" s="17" t="n">
        <v>2</v>
      </c>
      <c r="I49" s="16" t="inlineStr">
        <is>
          <t>Add interrupt gate requiring human manager approval for discounts &gt; 10%.</t>
        </is>
      </c>
      <c r="J49" s="16" t="inlineStr">
        <is>
          <t>Workflow halts, serializes state, and resumes upon human API callback.</t>
        </is>
      </c>
      <c r="K49" s="16" t="inlineStr"/>
      <c r="L49" s="17" t="inlineStr"/>
      <c r="M49" s="16" t="inlineStr"/>
    </row>
    <row r="50" ht="24" customHeight="1">
      <c r="A50" s="19" t="inlineStr">
        <is>
          <t>TOP-046</t>
        </is>
      </c>
      <c r="B50" s="22" t="inlineStr">
        <is>
          <t>Advanced AI</t>
        </is>
      </c>
      <c r="C50" s="20" t="inlineStr">
        <is>
          <t>LoRA &amp; QLoRA Fine-Tuning</t>
        </is>
      </c>
      <c r="D50" s="19" t="inlineStr">
        <is>
          <t>High</t>
        </is>
      </c>
      <c r="E50" s="22" t="inlineStr">
        <is>
          <t>TOP-035</t>
        </is>
      </c>
      <c r="F50" s="22" t="inlineStr">
        <is>
          <t>RES-011</t>
        </is>
      </c>
      <c r="G50" s="19" t="inlineStr">
        <is>
          <t>Not Started</t>
        </is>
      </c>
      <c r="H50" s="22" t="n">
        <v>1</v>
      </c>
      <c r="I50" s="21" t="inlineStr">
        <is>
          <t>Fine-tune Llama-3-8B adapter using QLoRA with Unsloth on Colab/GPU.</t>
        </is>
      </c>
      <c r="J50" s="21" t="inlineStr">
        <is>
          <t>Training loss drops steadily; model adopts custom consultative sales tone.</t>
        </is>
      </c>
      <c r="K50" s="21" t="inlineStr"/>
      <c r="L50" s="22" t="inlineStr"/>
      <c r="M50" s="21" t="inlineStr"/>
    </row>
    <row r="51" ht="24" customHeight="1">
      <c r="A51" s="14" t="inlineStr">
        <is>
          <t>TOP-047</t>
        </is>
      </c>
      <c r="B51" s="17" t="inlineStr">
        <is>
          <t>Production</t>
        </is>
      </c>
      <c r="C51" s="15" t="inlineStr">
        <is>
          <t>FastAPI Asynchronous Microservice</t>
        </is>
      </c>
      <c r="D51" s="14" t="inlineStr">
        <is>
          <t>High</t>
        </is>
      </c>
      <c r="E51" s="17" t="inlineStr">
        <is>
          <t>TOP-006</t>
        </is>
      </c>
      <c r="F51" s="17" t="inlineStr">
        <is>
          <t>RES-022</t>
        </is>
      </c>
      <c r="G51" s="14" t="inlineStr">
        <is>
          <t>Not Started</t>
        </is>
      </c>
      <c r="H51" s="17" t="n">
        <v>2</v>
      </c>
      <c r="I51" s="16" t="inlineStr">
        <is>
          <t>Build FastAPI app with async `/chat` endpoint calling agent state graph.</t>
        </is>
      </c>
      <c r="J51" s="16" t="inlineStr">
        <is>
          <t>Handles 50 concurrent requests with response streaming and OpenAPI docs.</t>
        </is>
      </c>
      <c r="K51" s="16" t="inlineStr"/>
      <c r="L51" s="17" t="inlineStr"/>
      <c r="M51" s="16" t="inlineStr"/>
    </row>
    <row r="52" ht="24" customHeight="1">
      <c r="A52" s="19" t="inlineStr">
        <is>
          <t>TOP-048</t>
        </is>
      </c>
      <c r="B52" s="22" t="inlineStr">
        <is>
          <t>Production</t>
        </is>
      </c>
      <c r="C52" s="20" t="inlineStr">
        <is>
          <t>Docker Containerization &amp; Compose</t>
        </is>
      </c>
      <c r="D52" s="19" t="inlineStr">
        <is>
          <t>High</t>
        </is>
      </c>
      <c r="E52" s="22" t="inlineStr">
        <is>
          <t>TOP-047</t>
        </is>
      </c>
      <c r="F52" s="22" t="inlineStr">
        <is>
          <t>RES-024</t>
        </is>
      </c>
      <c r="G52" s="19" t="inlineStr">
        <is>
          <t>Not Started</t>
        </is>
      </c>
      <c r="H52" s="22" t="n">
        <v>2</v>
      </c>
      <c r="I52" s="21" t="inlineStr">
        <is>
          <t>Write production Dockerfile and `docker-compose.yml` for FastAPI + Postgres.</t>
        </is>
      </c>
      <c r="J52" s="21" t="inlineStr">
        <is>
          <t>Containers build with minimal image size (&lt; 500MB) running as non-root user.</t>
        </is>
      </c>
      <c r="K52" s="21" t="inlineStr"/>
      <c r="L52" s="22" t="inlineStr"/>
      <c r="M52" s="21" t="inlineStr"/>
    </row>
    <row r="53" ht="24" customHeight="1">
      <c r="A53" s="14" t="inlineStr">
        <is>
          <t>TOP-049</t>
        </is>
      </c>
      <c r="B53" s="17" t="inlineStr">
        <is>
          <t>Production</t>
        </is>
      </c>
      <c r="C53" s="15" t="inlineStr">
        <is>
          <t>LLM Security, Injection &amp; Guardrails</t>
        </is>
      </c>
      <c r="D53" s="14" t="inlineStr">
        <is>
          <t>High</t>
        </is>
      </c>
      <c r="E53" s="17" t="inlineStr">
        <is>
          <t>TOP-045</t>
        </is>
      </c>
      <c r="F53" s="17" t="inlineStr">
        <is>
          <t>RES-025</t>
        </is>
      </c>
      <c r="G53" s="14" t="inlineStr">
        <is>
          <t>Not Started</t>
        </is>
      </c>
      <c r="H53" s="17" t="n">
        <v>2</v>
      </c>
      <c r="I53" s="16" t="inlineStr">
        <is>
          <t>Implement NeMo Guardrails / Llama-Guard blocking prompt injection attempts.</t>
        </is>
      </c>
      <c r="J53" s="16" t="inlineStr">
        <is>
          <t>Agent blocks 100% of tested jailbreak prompts attempting to alter prices.</t>
        </is>
      </c>
      <c r="K53" s="16" t="inlineStr"/>
      <c r="L53" s="17" t="inlineStr"/>
      <c r="M53" s="16" t="inlineStr"/>
    </row>
    <row r="54" ht="24" customHeight="1">
      <c r="A54" s="19" t="inlineStr">
        <is>
          <t>TOP-050</t>
        </is>
      </c>
      <c r="B54" s="22" t="inlineStr">
        <is>
          <t>Business</t>
        </is>
      </c>
      <c r="C54" s="20" t="inlineStr">
        <is>
          <t>B2B Lead Qualification &amp; BANT Logic</t>
        </is>
      </c>
      <c r="D54" s="19" t="inlineStr">
        <is>
          <t>High</t>
        </is>
      </c>
      <c r="E54" s="22" t="inlineStr">
        <is>
          <t>TOP-005</t>
        </is>
      </c>
      <c r="F54" s="22" t="inlineStr">
        <is>
          <t>RES-020</t>
        </is>
      </c>
      <c r="G54" s="19" t="inlineStr">
        <is>
          <t>Not Started</t>
        </is>
      </c>
      <c r="H54" s="22" t="n">
        <v>2</v>
      </c>
      <c r="I54" s="21" t="inlineStr">
        <is>
          <t>Define formal BANT scoring criteria and integrate into consultative prompt.</t>
        </is>
      </c>
      <c r="J54" s="21" t="inlineStr">
        <is>
          <t>Agent accurately categorizes leads into Hot, Warm, Cold with clear rationale.</t>
        </is>
      </c>
      <c r="K54" s="21" t="inlineStr"/>
      <c r="L54" s="22" t="inlineStr"/>
      <c r="M54" s="21" t="inlineStr"/>
    </row>
    <row r="55" ht="24" customHeight="1">
      <c r="A55" s="14" t="inlineStr">
        <is>
          <t>TOP-051</t>
        </is>
      </c>
      <c r="B55" s="17" t="inlineStr">
        <is>
          <t>Business</t>
        </is>
      </c>
      <c r="C55" s="15" t="inlineStr">
        <is>
          <t>Autonomous Price Negotiation Boundaries</t>
        </is>
      </c>
      <c r="D55" s="14" t="inlineStr">
        <is>
          <t>High</t>
        </is>
      </c>
      <c r="E55" s="17" t="inlineStr">
        <is>
          <t>TOP-045</t>
        </is>
      </c>
      <c r="F55" s="17" t="inlineStr">
        <is>
          <t>RES-007</t>
        </is>
      </c>
      <c r="G55" s="14" t="inlineStr">
        <is>
          <t>Not Started</t>
        </is>
      </c>
      <c r="H55" s="17" t="n">
        <v>2</v>
      </c>
      <c r="I55" s="16" t="inlineStr">
        <is>
          <t>Implement strict discount curve: 0-10% automatic, 11-20% manager approved, &gt;20% forbidden.</t>
        </is>
      </c>
      <c r="J55" s="16" t="inlineStr">
        <is>
          <t>Agent never violates maximum authorized discount in 100 test simulations.</t>
        </is>
      </c>
      <c r="K55" s="16" t="inlineStr"/>
      <c r="L55" s="17" t="inlineStr"/>
      <c r="M55" s="16" t="inlineStr"/>
    </row>
    <row r="56" ht="24" customHeight="1">
      <c r="A56" s="19" t="inlineStr">
        <is>
          <t>TOP-052</t>
        </is>
      </c>
      <c r="B56" s="22" t="inlineStr">
        <is>
          <t>Business</t>
        </is>
      </c>
      <c r="C56" s="20" t="inlineStr">
        <is>
          <t>Commercial SaaS Pricing &amp; Unit Economics</t>
        </is>
      </c>
      <c r="D56" s="19" t="inlineStr">
        <is>
          <t>High</t>
        </is>
      </c>
      <c r="E56" s="22" t="inlineStr">
        <is>
          <t>None</t>
        </is>
      </c>
      <c r="F56" s="22" t="inlineStr">
        <is>
          <t>RES-020</t>
        </is>
      </c>
      <c r="G56" s="19" t="inlineStr">
        <is>
          <t>Not Started</t>
        </is>
      </c>
      <c r="H56" s="22" t="n">
        <v>2</v>
      </c>
      <c r="I56" s="21" t="inlineStr">
        <is>
          <t>Calculate token API costs, server costs, and target 80% gross profit margins.</t>
        </is>
      </c>
      <c r="J56" s="21" t="inlineStr">
        <is>
          <t>Establish sustainable pricing: e.g. $499/mo per autonomous sales seat.</t>
        </is>
      </c>
      <c r="K56" s="21" t="inlineStr"/>
      <c r="L56" s="22" t="inlineStr"/>
      <c r="M56" s="21" t="inlineStr"/>
    </row>
  </sheetData>
  <autoFilter ref="A4:M56"/>
  <dataValidations count="3">
    <dataValidation sqref="G5:G56" showDropDown="0" showInputMessage="0" showErrorMessage="0" allowBlank="1" type="list">
      <formula1>"Not Started,In Progress,Completed,Mastered,Needs Revision,Blocked"</formula1>
    </dataValidation>
    <dataValidation sqref="D5:D56" showDropDown="0" showInputMessage="0" showErrorMessage="0" allowBlank="1" type="list">
      <formula1>"High,Medium,Low"</formula1>
    </dataValidation>
    <dataValidation sqref="H5:H5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28" customWidth="1" min="13" max="13"/>
    <col width="25" customWidth="1" min="14" max="14"/>
    <col width="12" customWidth="1" min="15" max="15"/>
    <col width="24" customWidth="1" min="16" max="16"/>
  </cols>
  <sheetData>
    <row r="1" ht="24" customHeight="1">
      <c r="A1" s="12" t="inlineStr">
        <is>
          <t>TUTORIAL, COURSE &amp; PAPER STUDY TRACKER</t>
        </is>
      </c>
    </row>
    <row r="2" ht="18" customHeight="1">
      <c r="A2" s="2" t="inlineStr">
        <is>
          <t>Tracking Guided Learning: Videos, Courses, Interactive Labs, and Research Papers with Enforced Practical Deliverables</t>
        </is>
      </c>
    </row>
    <row r="4" ht="28" customHeight="1">
      <c r="A4" s="13" t="inlineStr">
        <is>
          <t>Tutorial ID</t>
        </is>
      </c>
      <c r="B4" s="13" t="inlineStr">
        <is>
          <t>Title</t>
        </is>
      </c>
      <c r="C4" s="13" t="inlineStr">
        <is>
          <t>Provider</t>
        </is>
      </c>
      <c r="D4" s="13" t="inlineStr">
        <is>
          <t>URL</t>
        </is>
      </c>
      <c r="E4" s="13" t="inlineStr">
        <is>
          <t>Subject</t>
        </is>
      </c>
      <c r="F4" s="13" t="inlineStr">
        <is>
          <t>Difficulty</t>
        </is>
      </c>
      <c r="G4" s="13" t="inlineStr">
        <is>
          <t>Format</t>
        </is>
      </c>
      <c r="H4" s="13" t="inlineStr">
        <is>
          <t>Estimated Duration (hrs)</t>
        </is>
      </c>
      <c r="I4" s="13" t="inlineStr">
        <is>
          <t>Actual Duration (hrs)</t>
        </is>
      </c>
      <c r="J4" s="13" t="inlineStr">
        <is>
          <t>Start Date</t>
        </is>
      </c>
      <c r="K4" s="13" t="inlineStr">
        <is>
          <t>Completion Date</t>
        </is>
      </c>
      <c r="L4" s="13" t="inlineStr">
        <is>
          <t>Current Status</t>
        </is>
      </c>
      <c r="M4" s="13" t="inlineStr">
        <is>
          <t>Important Lessons</t>
        </is>
      </c>
      <c r="N4" s="13" t="inlineStr">
        <is>
          <t>Exercises Completed</t>
        </is>
      </c>
      <c r="O4" s="13" t="inlineStr">
        <is>
          <t>Personal Rating (1-5)</t>
        </is>
      </c>
      <c r="P4" s="13" t="inlineStr">
        <is>
          <t>Notes</t>
        </is>
      </c>
    </row>
    <row r="5" ht="26" customHeight="1">
      <c r="A5" s="14" t="inlineStr">
        <is>
          <t>TUT-001</t>
        </is>
      </c>
      <c r="B5" s="15" t="inlineStr">
        <is>
          <t>Python for Everybody Specialization</t>
        </is>
      </c>
      <c r="C5" s="17" t="inlineStr">
        <is>
          <t>Coursera / Dr. Chuck</t>
        </is>
      </c>
      <c r="D5" s="27" t="inlineStr">
        <is>
          <t>https://www.py4e.com/</t>
        </is>
      </c>
      <c r="E5" s="14" t="inlineStr">
        <is>
          <t>Python</t>
        </is>
      </c>
      <c r="F5" s="17" t="inlineStr">
        <is>
          <t>Beginner</t>
        </is>
      </c>
      <c r="G5" s="17" t="inlineStr">
        <is>
          <t>Course</t>
        </is>
      </c>
      <c r="H5" s="38" t="n">
        <v>20</v>
      </c>
      <c r="I5" s="38" t="n">
        <v>0</v>
      </c>
      <c r="J5" s="17" t="inlineStr">
        <is>
          <t>2026-11-01</t>
        </is>
      </c>
      <c r="K5" s="17" t="inlineStr"/>
      <c r="L5" s="14" t="inlineStr">
        <is>
          <t>Not Started</t>
        </is>
      </c>
      <c r="M5" s="16" t="inlineStr">
        <is>
          <t>Data structures, web scraping, SQL databases, and JSON APIs in Python.</t>
        </is>
      </c>
      <c r="N5" s="16" t="inlineStr">
        <is>
          <t>Exercises 1-10 completed</t>
        </is>
      </c>
      <c r="O5" s="17" t="n"/>
      <c r="P5" s="16" t="inlineStr">
        <is>
          <t>Review Python fundamentals and clean design patterns.</t>
        </is>
      </c>
    </row>
    <row r="6" ht="26" customHeight="1">
      <c r="A6" s="19" t="inlineStr">
        <is>
          <t>TUT-002</t>
        </is>
      </c>
      <c r="B6" s="20" t="inlineStr">
        <is>
          <t>Essence of Linear Algebra</t>
        </is>
      </c>
      <c r="C6" s="22" t="inlineStr">
        <is>
          <t>3Blue1Brown</t>
        </is>
      </c>
      <c r="D6" s="31" t="inlineStr">
        <is>
          <t>https://www.3blue1brown.com/topics/linear-algebra</t>
        </is>
      </c>
      <c r="E6" s="19" t="inlineStr">
        <is>
          <t>Mathematics</t>
        </is>
      </c>
      <c r="F6" s="22" t="inlineStr">
        <is>
          <t>Beginner</t>
        </is>
      </c>
      <c r="G6" s="22" t="inlineStr">
        <is>
          <t>Video Series</t>
        </is>
      </c>
      <c r="H6" s="39" t="n">
        <v>6</v>
      </c>
      <c r="I6" s="39" t="n">
        <v>0</v>
      </c>
      <c r="J6" s="22" t="inlineStr">
        <is>
          <t>2026-11-05</t>
        </is>
      </c>
      <c r="K6" s="22" t="inlineStr"/>
      <c r="L6" s="19" t="inlineStr">
        <is>
          <t>Not Started</t>
        </is>
      </c>
      <c r="M6" s="21" t="inlineStr">
        <is>
          <t>Geometric intuition behind matrices as linear transformations and eigenvectors.</t>
        </is>
      </c>
      <c r="N6" s="21" t="inlineStr">
        <is>
          <t>Visualized matrix transforms in Python</t>
        </is>
      </c>
      <c r="O6" s="22" t="n"/>
      <c r="P6" s="21" t="inlineStr">
        <is>
          <t>Must-watch visual series to deeply understand dot products and projections.</t>
        </is>
      </c>
    </row>
    <row r="7" ht="26" customHeight="1">
      <c r="A7" s="14" t="inlineStr">
        <is>
          <t>TUT-003</t>
        </is>
      </c>
      <c r="B7" s="15" t="inlineStr">
        <is>
          <t>Google Machine Learning Crash Course</t>
        </is>
      </c>
      <c r="C7" s="17" t="inlineStr">
        <is>
          <t>Google</t>
        </is>
      </c>
      <c r="D7" s="27" t="inlineStr">
        <is>
          <t>https://developers.google.com/machine-learning/crash-course</t>
        </is>
      </c>
      <c r="E7" s="14" t="inlineStr">
        <is>
          <t>Machine Learning</t>
        </is>
      </c>
      <c r="F7" s="17" t="inlineStr">
        <is>
          <t>Beginner to Intermediate</t>
        </is>
      </c>
      <c r="G7" s="17" t="inlineStr">
        <is>
          <t>Interactive Course</t>
        </is>
      </c>
      <c r="H7" s="38" t="n">
        <v>15</v>
      </c>
      <c r="I7" s="38" t="n">
        <v>0</v>
      </c>
      <c r="J7" s="17" t="inlineStr">
        <is>
          <t>2026-12-01</t>
        </is>
      </c>
      <c r="K7" s="17" t="inlineStr"/>
      <c r="L7" s="14" t="inlineStr">
        <is>
          <t>Not Started</t>
        </is>
      </c>
      <c r="M7" s="16" t="inlineStr">
        <is>
          <t>Gradient descent, loss surfaces, classification metrics, and regularization.</t>
        </is>
      </c>
      <c r="N7" s="16" t="inlineStr">
        <is>
          <t>All Colab programming exercises</t>
        </is>
      </c>
      <c r="O7" s="17" t="n"/>
      <c r="P7" s="16" t="inlineStr">
        <is>
          <t>High quality visual explanations of machine learning principles.</t>
        </is>
      </c>
    </row>
    <row r="8" ht="26" customHeight="1">
      <c r="A8" s="19" t="inlineStr">
        <is>
          <t>TUT-004</t>
        </is>
      </c>
      <c r="B8" s="20" t="inlineStr">
        <is>
          <t>Deep Learning with PyTorch: A 60 Minute Blitz</t>
        </is>
      </c>
      <c r="C8" s="22" t="inlineStr">
        <is>
          <t>PyTorch Official</t>
        </is>
      </c>
      <c r="D8" s="31" t="inlineStr">
        <is>
          <t>https://pytorch.org/tutorials/beginner/deep_learning_60min_blitz.html</t>
        </is>
      </c>
      <c r="E8" s="19" t="inlineStr">
        <is>
          <t>Deep Learning</t>
        </is>
      </c>
      <c r="F8" s="22" t="inlineStr">
        <is>
          <t>Intermediate</t>
        </is>
      </c>
      <c r="G8" s="22" t="inlineStr">
        <is>
          <t>Hands-on Lab</t>
        </is>
      </c>
      <c r="H8" s="39" t="n">
        <v>4</v>
      </c>
      <c r="I8" s="39" t="n">
        <v>0</v>
      </c>
      <c r="J8" s="22" t="inlineStr">
        <is>
          <t>2027-01-02</t>
        </is>
      </c>
      <c r="K8" s="22" t="inlineStr"/>
      <c r="L8" s="19" t="inlineStr">
        <is>
          <t>Not Started</t>
        </is>
      </c>
      <c r="M8" s="21" t="inlineStr">
        <is>
          <t>Tensors, autograd engine, building neural networks with nn.Module, and optimizers.</t>
        </is>
      </c>
      <c r="N8" s="21" t="inlineStr">
        <is>
          <t>Built and trained mini CNN on CIFAR-10</t>
        </is>
      </c>
      <c r="O8" s="22" t="n"/>
      <c r="P8" s="21" t="inlineStr">
        <is>
          <t>Official PyTorch onboarding module. Short, dense, and effective.</t>
        </is>
      </c>
    </row>
    <row r="9" ht="26" customHeight="1">
      <c r="A9" s="14" t="inlineStr">
        <is>
          <t>TUT-005</t>
        </is>
      </c>
      <c r="B9" s="15" t="inlineStr">
        <is>
          <t>Neural Networks: Zero to Hero (micrograd &amp; makemore)</t>
        </is>
      </c>
      <c r="C9" s="17" t="inlineStr">
        <is>
          <t>Andrej Karpathy</t>
        </is>
      </c>
      <c r="D9" s="27" t="inlineStr">
        <is>
          <t>https://karpathy.ai/zero-to-hero.html</t>
        </is>
      </c>
      <c r="E9" s="14" t="inlineStr">
        <is>
          <t>Deep Learning</t>
        </is>
      </c>
      <c r="F9" s="17" t="inlineStr">
        <is>
          <t>Intermediate</t>
        </is>
      </c>
      <c r="G9" s="17" t="inlineStr">
        <is>
          <t>Video / Code-along</t>
        </is>
      </c>
      <c r="H9" s="38" t="n">
        <v>16</v>
      </c>
      <c r="I9" s="38" t="n">
        <v>0</v>
      </c>
      <c r="J9" s="17" t="inlineStr">
        <is>
          <t>2027-01-10</t>
        </is>
      </c>
      <c r="K9" s="17" t="inlineStr"/>
      <c r="L9" s="14" t="inlineStr">
        <is>
          <t>Not Started</t>
        </is>
      </c>
      <c r="M9" s="16" t="inlineStr">
        <is>
          <t>Built autograd engine from scratch, backprop math, and character-level language models.</t>
        </is>
      </c>
      <c r="N9" s="16" t="inlineStr">
        <is>
          <t>Implemented micrograd engine in Python</t>
        </is>
      </c>
      <c r="O9" s="17" t="n"/>
      <c r="P9" s="16" t="inlineStr">
        <is>
          <t>The gold standard for demystifying backpropagation and neural net training.</t>
        </is>
      </c>
    </row>
    <row r="10" ht="26" customHeight="1">
      <c r="A10" s="19" t="inlineStr">
        <is>
          <t>TUT-006</t>
        </is>
      </c>
      <c r="B10" s="20" t="inlineStr">
        <is>
          <t>Hugging Face Transformers Course (Chapters 1-4)</t>
        </is>
      </c>
      <c r="C10" s="22" t="inlineStr">
        <is>
          <t>Hugging Face</t>
        </is>
      </c>
      <c r="D10" s="31" t="inlineStr">
        <is>
          <t>https://huggingface.co/learn/nlp-course</t>
        </is>
      </c>
      <c r="E10" s="19" t="inlineStr">
        <is>
          <t>LLMs &amp; NLP</t>
        </is>
      </c>
      <c r="F10" s="22" t="inlineStr">
        <is>
          <t>Intermediate</t>
        </is>
      </c>
      <c r="G10" s="22" t="inlineStr">
        <is>
          <t>Interactive Course</t>
        </is>
      </c>
      <c r="H10" s="39" t="n">
        <v>12</v>
      </c>
      <c r="I10" s="39" t="n">
        <v>0</v>
      </c>
      <c r="J10" s="22" t="inlineStr">
        <is>
          <t>2027-02-02</t>
        </is>
      </c>
      <c r="K10" s="22" t="inlineStr"/>
      <c r="L10" s="19" t="inlineStr">
        <is>
          <t>Not Started</t>
        </is>
      </c>
      <c r="M10" s="21" t="inlineStr">
        <is>
          <t>Tokenizers, pipelines, attention mechanisms, and fine-tuning with Trainer.</t>
        </is>
      </c>
      <c r="N10" s="21" t="inlineStr">
        <is>
          <t>Fine-tuned text classifier on customer tickets</t>
        </is>
      </c>
      <c r="O10" s="22" t="n"/>
      <c r="P10" s="21" t="inlineStr">
        <is>
          <t>Essential practical grounding for open-source LLM manipulation.</t>
        </is>
      </c>
    </row>
    <row r="11" ht="26" customHeight="1">
      <c r="A11" s="14" t="inlineStr">
        <is>
          <t>TUT-007</t>
        </is>
      </c>
      <c r="B11" s="15" t="inlineStr">
        <is>
          <t>Attention Is All You Need (Paper Walkthrough)</t>
        </is>
      </c>
      <c r="C11" s="17" t="inlineStr">
        <is>
          <t>Vaswani et al. / Jay Alammar</t>
        </is>
      </c>
      <c r="D11" s="27" t="inlineStr">
        <is>
          <t>https://jalammar.github.io/illustrated-transformer/</t>
        </is>
      </c>
      <c r="E11" s="14" t="inlineStr">
        <is>
          <t>LLMs</t>
        </is>
      </c>
      <c r="F11" s="17" t="inlineStr">
        <is>
          <t>Intermediate to Advanced</t>
        </is>
      </c>
      <c r="G11" s="17" t="inlineStr">
        <is>
          <t>Paper &amp; Visual Guide</t>
        </is>
      </c>
      <c r="H11" s="38" t="n">
        <v>5</v>
      </c>
      <c r="I11" s="38" t="n">
        <v>0</v>
      </c>
      <c r="J11" s="17" t="inlineStr">
        <is>
          <t>2027-02-10</t>
        </is>
      </c>
      <c r="K11" s="17" t="inlineStr"/>
      <c r="L11" s="14" t="inlineStr">
        <is>
          <t>Not Started</t>
        </is>
      </c>
      <c r="M11" s="16" t="inlineStr">
        <is>
          <t>Scaled dot-product attention equation, query-key-value transformations, positional encodings.</t>
        </is>
      </c>
      <c r="N11" s="16" t="inlineStr">
        <is>
          <t>Annotated Transformer architecture diagram</t>
        </is>
      </c>
      <c r="O11" s="17" t="n"/>
      <c r="P11" s="16" t="inlineStr">
        <is>
          <t>Foundational paper that launched modern Generative AI.</t>
        </is>
      </c>
    </row>
    <row r="12" ht="26" customHeight="1">
      <c r="A12" s="19" t="inlineStr">
        <is>
          <t>TUT-008</t>
        </is>
      </c>
      <c r="B12" s="20" t="inlineStr">
        <is>
          <t>ChatGPT Prompt Engineering for Developers</t>
        </is>
      </c>
      <c r="C12" s="22" t="inlineStr">
        <is>
          <t>DeepLearning.AI / OpenAI</t>
        </is>
      </c>
      <c r="D12" s="31" t="inlineStr">
        <is>
          <t>https://www.deeplearning.ai/short-courses/chatgpt-prompt-engineering-for-developers/</t>
        </is>
      </c>
      <c r="E12" s="19" t="inlineStr">
        <is>
          <t>Prompting</t>
        </is>
      </c>
      <c r="F12" s="22" t="inlineStr">
        <is>
          <t>Beginner</t>
        </is>
      </c>
      <c r="G12" s="22" t="inlineStr">
        <is>
          <t>Short Course</t>
        </is>
      </c>
      <c r="H12" s="39" t="n">
        <v>2</v>
      </c>
      <c r="I12" s="39" t="n">
        <v>0</v>
      </c>
      <c r="J12" s="22" t="inlineStr">
        <is>
          <t>2027-03-02</t>
        </is>
      </c>
      <c r="K12" s="22" t="inlineStr"/>
      <c r="L12" s="19" t="inlineStr">
        <is>
          <t>Not Started</t>
        </is>
      </c>
      <c r="M12" s="21" t="inlineStr">
        <is>
          <t>System messages, delimiters, structured JSON extraction, and iterative prompt design.</t>
        </is>
      </c>
      <c r="N12" s="21" t="inlineStr">
        <is>
          <t>Built lead data extraction prompts in Jupyter</t>
        </is>
      </c>
      <c r="O12" s="22" t="n"/>
      <c r="P12" s="21" t="inlineStr">
        <is>
          <t>Taught by Isa Fulford (OpenAI) and Andrew Ng.</t>
        </is>
      </c>
    </row>
    <row r="13" ht="26" customHeight="1">
      <c r="A13" s="14" t="inlineStr">
        <is>
          <t>TUT-009</t>
        </is>
      </c>
      <c r="B13" s="15" t="inlineStr">
        <is>
          <t>Building Systems with the ChatGPT API</t>
        </is>
      </c>
      <c r="C13" s="17" t="inlineStr">
        <is>
          <t>DeepLearning.AI / OpenAI</t>
        </is>
      </c>
      <c r="D13" s="27" t="inlineStr">
        <is>
          <t>https://www.deeplearning.ai/short-courses/building-systems-with-chatgpt/</t>
        </is>
      </c>
      <c r="E13" s="14" t="inlineStr">
        <is>
          <t>LLM Systems</t>
        </is>
      </c>
      <c r="F13" s="17" t="inlineStr">
        <is>
          <t>Intermediate</t>
        </is>
      </c>
      <c r="G13" s="17" t="inlineStr">
        <is>
          <t>Short Course</t>
        </is>
      </c>
      <c r="H13" s="38" t="n">
        <v>2.5</v>
      </c>
      <c r="I13" s="38" t="n">
        <v>0</v>
      </c>
      <c r="J13" s="17" t="inlineStr">
        <is>
          <t>2027-03-08</t>
        </is>
      </c>
      <c r="K13" s="17" t="inlineStr"/>
      <c r="L13" s="14" t="inlineStr">
        <is>
          <t>Not Started</t>
        </is>
      </c>
      <c r="M13" s="16" t="inlineStr">
        <is>
          <t>Chaining prompts, moderation API, input evaluation, and user interaction loops.</t>
        </is>
      </c>
      <c r="N13" s="16" t="inlineStr">
        <is>
          <t>Built multi-step customer service bot</t>
        </is>
      </c>
      <c r="O13" s="17" t="n"/>
      <c r="P13" s="16" t="inlineStr">
        <is>
          <t>Focuses on safety and evaluating system outputs.</t>
        </is>
      </c>
    </row>
    <row r="14" ht="26" customHeight="1">
      <c r="A14" s="19" t="inlineStr">
        <is>
          <t>TUT-010</t>
        </is>
      </c>
      <c r="B14" s="20" t="inlineStr">
        <is>
          <t>LangGraph: Developing Multi-Agent Applications</t>
        </is>
      </c>
      <c r="C14" s="22" t="inlineStr">
        <is>
          <t>LangChain Academy</t>
        </is>
      </c>
      <c r="D14" s="31" t="inlineStr">
        <is>
          <t>https://academy.langchain.com/</t>
        </is>
      </c>
      <c r="E14" s="19" t="inlineStr">
        <is>
          <t>AI Agents</t>
        </is>
      </c>
      <c r="F14" s="22" t="inlineStr">
        <is>
          <t>Intermediate to Advanced</t>
        </is>
      </c>
      <c r="G14" s="22" t="inlineStr">
        <is>
          <t>Course / Labs</t>
        </is>
      </c>
      <c r="H14" s="39" t="n">
        <v>10</v>
      </c>
      <c r="I14" s="39" t="n">
        <v>0</v>
      </c>
      <c r="J14" s="22" t="inlineStr">
        <is>
          <t>2027-05-02</t>
        </is>
      </c>
      <c r="K14" s="22" t="inlineStr"/>
      <c r="L14" s="19" t="inlineStr">
        <is>
          <t>Not Started</t>
        </is>
      </c>
      <c r="M14" s="21" t="inlineStr">
        <is>
          <t>StateGraph, cyclical agent loops, persistence checkpoints, and conditional routing.</t>
        </is>
      </c>
      <c r="N14" s="21" t="inlineStr">
        <is>
          <t>Built stateful research agent with human-in-the-loop</t>
        </is>
      </c>
      <c r="O14" s="22" t="n"/>
      <c r="P14" s="21" t="inlineStr">
        <is>
          <t>The definitive course on reliable agentic architecture.</t>
        </is>
      </c>
    </row>
    <row r="15" ht="26" customHeight="1">
      <c r="A15" s="14" t="inlineStr">
        <is>
          <t>TUT-011</t>
        </is>
      </c>
      <c r="B15" s="15" t="inlineStr">
        <is>
          <t>Functions, Tools and Agents with LangChain</t>
        </is>
      </c>
      <c r="C15" s="17" t="inlineStr">
        <is>
          <t>DeepLearning.AI / Harrison Chase</t>
        </is>
      </c>
      <c r="D15" s="27" t="inlineStr">
        <is>
          <t>https://www.deeplearning.ai/short-courses/functions-tools-agents-langchain/</t>
        </is>
      </c>
      <c r="E15" s="14" t="inlineStr">
        <is>
          <t>AI Agents</t>
        </is>
      </c>
      <c r="F15" s="17" t="inlineStr">
        <is>
          <t>Intermediate</t>
        </is>
      </c>
      <c r="G15" s="17" t="inlineStr">
        <is>
          <t>Short Course</t>
        </is>
      </c>
      <c r="H15" s="38" t="n">
        <v>3</v>
      </c>
      <c r="I15" s="38" t="n">
        <v>0</v>
      </c>
      <c r="J15" s="17" t="inlineStr">
        <is>
          <t>2027-05-12</t>
        </is>
      </c>
      <c r="K15" s="17" t="inlineStr"/>
      <c r="L15" s="14" t="inlineStr">
        <is>
          <t>Not Started</t>
        </is>
      </c>
      <c r="M15" s="16" t="inlineStr">
        <is>
          <t>OpenAI function calling, tool binding, routing, and ReAct agent workflows.</t>
        </is>
      </c>
      <c r="N15" s="16" t="inlineStr">
        <is>
          <t>Created agent invoking weather and CRM tools</t>
        </is>
      </c>
      <c r="O15" s="17" t="n"/>
      <c r="P15" s="16" t="inlineStr">
        <is>
          <t>Excellent practical introduction to function calling.</t>
        </is>
      </c>
    </row>
    <row r="16" ht="26" customHeight="1">
      <c r="A16" s="19" t="inlineStr">
        <is>
          <t>TUT-012</t>
        </is>
      </c>
      <c r="B16" s="20" t="inlineStr">
        <is>
          <t>Building Agentic RAG with LlamaIndex</t>
        </is>
      </c>
      <c r="C16" s="22" t="inlineStr">
        <is>
          <t>DeepLearning.AI / Jerry Liu</t>
        </is>
      </c>
      <c r="D16" s="31" t="inlineStr">
        <is>
          <t>https://www.deeplearning.ai/short-courses/building-agentic-rag-with-llamaindex/</t>
        </is>
      </c>
      <c r="E16" s="19" t="inlineStr">
        <is>
          <t>RAG &amp; Agents</t>
        </is>
      </c>
      <c r="F16" s="22" t="inlineStr">
        <is>
          <t>Intermediate</t>
        </is>
      </c>
      <c r="G16" s="22" t="inlineStr">
        <is>
          <t>Short Course</t>
        </is>
      </c>
      <c r="H16" s="39" t="n">
        <v>3</v>
      </c>
      <c r="I16" s="39" t="n">
        <v>0</v>
      </c>
      <c r="J16" s="22" t="inlineStr">
        <is>
          <t>2027-06-02</t>
        </is>
      </c>
      <c r="K16" s="22" t="inlineStr"/>
      <c r="L16" s="19" t="inlineStr">
        <is>
          <t>Not Started</t>
        </is>
      </c>
      <c r="M16" s="21" t="inlineStr">
        <is>
          <t>Router engines, sub-question query planning, and tool-augmented document retrieval.</t>
        </is>
      </c>
      <c r="N16" s="21" t="inlineStr">
        <is>
          <t>Built router querying both SQL DB and vector docs</t>
        </is>
      </c>
      <c r="O16" s="22" t="n"/>
      <c r="P16" s="21" t="inlineStr">
        <is>
          <t>Bridges document retrieval with agentic decision-making.</t>
        </is>
      </c>
    </row>
    <row r="17" ht="26" customHeight="1">
      <c r="A17" s="14" t="inlineStr">
        <is>
          <t>TUT-013</t>
        </is>
      </c>
      <c r="B17" s="15" t="inlineStr">
        <is>
          <t>Multi AI Agent Systems with crewAI</t>
        </is>
      </c>
      <c r="C17" s="17" t="inlineStr">
        <is>
          <t>DeepLearning.AI / João Moura</t>
        </is>
      </c>
      <c r="D17" s="27" t="inlineStr">
        <is>
          <t>https://www.deeplearning.ai/short-courses/multi-ai-agent-systems-with-crewai/</t>
        </is>
      </c>
      <c r="E17" s="14" t="inlineStr">
        <is>
          <t>Multi-Agent</t>
        </is>
      </c>
      <c r="F17" s="17" t="inlineStr">
        <is>
          <t>Intermediate</t>
        </is>
      </c>
      <c r="G17" s="17" t="inlineStr">
        <is>
          <t>Short Course</t>
        </is>
      </c>
      <c r="H17" s="38" t="n">
        <v>3</v>
      </c>
      <c r="I17" s="38" t="n">
        <v>0</v>
      </c>
      <c r="J17" s="17" t="inlineStr">
        <is>
          <t>2027-06-15</t>
        </is>
      </c>
      <c r="K17" s="17" t="inlineStr"/>
      <c r="L17" s="14" t="inlineStr">
        <is>
          <t>Not Started</t>
        </is>
      </c>
      <c r="M17" s="16" t="inlineStr">
        <is>
          <t>Crew orchestration, agent roles, task delegation, and memory management.</t>
        </is>
      </c>
      <c r="N17" s="16" t="inlineStr">
        <is>
          <t>Built SDR research and pitch-writing crew</t>
        </is>
      </c>
      <c r="O17" s="17" t="n"/>
      <c r="P17" s="16" t="inlineStr">
        <is>
          <t>Great for understanding cooperative multi-agent dynamics.</t>
        </is>
      </c>
    </row>
    <row r="18" ht="26" customHeight="1">
      <c r="A18" s="19" t="inlineStr">
        <is>
          <t>TUT-014</t>
        </is>
      </c>
      <c r="B18" s="20" t="inlineStr">
        <is>
          <t>Fine-Tuning Large Language Models</t>
        </is>
      </c>
      <c r="C18" s="22" t="inlineStr">
        <is>
          <t>DeepLearning.AI / Sharon Zhou</t>
        </is>
      </c>
      <c r="D18" s="31" t="inlineStr">
        <is>
          <t>https://www.deeplearning.ai/short-courses/finetuning-large-language-models/</t>
        </is>
      </c>
      <c r="E18" s="19" t="inlineStr">
        <is>
          <t>Fine-Tuning</t>
        </is>
      </c>
      <c r="F18" s="22" t="inlineStr">
        <is>
          <t>Advanced</t>
        </is>
      </c>
      <c r="G18" s="22" t="inlineStr">
        <is>
          <t>Short Course</t>
        </is>
      </c>
      <c r="H18" s="39" t="n">
        <v>3.5</v>
      </c>
      <c r="I18" s="39" t="n">
        <v>0</v>
      </c>
      <c r="J18" s="22" t="inlineStr">
        <is>
          <t>2027-08-18</t>
        </is>
      </c>
      <c r="K18" s="22" t="inlineStr"/>
      <c r="L18" s="19" t="inlineStr">
        <is>
          <t>Not Started</t>
        </is>
      </c>
      <c r="M18" s="21" t="inlineStr">
        <is>
          <t>Instruction tuning, data preparation, evaluation benchmarks, and LoRA parameters.</t>
        </is>
      </c>
      <c r="N18" s="21" t="inlineStr">
        <is>
          <t>Prepared instruction dataset and ran fine-tuning script</t>
        </is>
      </c>
      <c r="O18" s="22" t="n"/>
      <c r="P18" s="21" t="inlineStr">
        <is>
          <t>Solid conceptual and code walkthrough of parameter-efficient tuning.</t>
        </is>
      </c>
    </row>
    <row r="19" ht="26" customHeight="1">
      <c r="A19" s="14" t="inlineStr">
        <is>
          <t>TUT-015</t>
        </is>
      </c>
      <c r="B19" s="15" t="inlineStr">
        <is>
          <t>FastAPI in 100 Seconds &amp; Full Crash Course</t>
        </is>
      </c>
      <c r="C19" s="17" t="inlineStr">
        <is>
          <t>freeCodeCamp / Tiangolo</t>
        </is>
      </c>
      <c r="D19" s="27" t="inlineStr">
        <is>
          <t>https://fastapi.tiangolo.com/tutorial/</t>
        </is>
      </c>
      <c r="E19" s="14" t="inlineStr">
        <is>
          <t>Backend</t>
        </is>
      </c>
      <c r="F19" s="17" t="inlineStr">
        <is>
          <t>Intermediate</t>
        </is>
      </c>
      <c r="G19" s="17" t="inlineStr">
        <is>
          <t>Documentation &amp; Video</t>
        </is>
      </c>
      <c r="H19" s="38" t="n">
        <v>6</v>
      </c>
      <c r="I19" s="38" t="n">
        <v>0</v>
      </c>
      <c r="J19" s="17" t="inlineStr">
        <is>
          <t>2027-09-18</t>
        </is>
      </c>
      <c r="K19" s="17" t="inlineStr"/>
      <c r="L19" s="14" t="inlineStr">
        <is>
          <t>Not Started</t>
        </is>
      </c>
      <c r="M19" s="16" t="inlineStr">
        <is>
          <t>Pydantic request bodies, dependency injection, async def, and CORS middleware.</t>
        </is>
      </c>
      <c r="N19" s="16" t="inlineStr">
        <is>
          <t>Deployed authenticated REST API with Swagger UI</t>
        </is>
      </c>
      <c r="O19" s="17" t="n"/>
      <c r="P19" s="16" t="inlineStr">
        <is>
          <t>Essential for wrapping AI models in high-throughput production APIs.</t>
        </is>
      </c>
    </row>
    <row r="20" ht="26" customHeight="1">
      <c r="A20" s="19" t="inlineStr">
        <is>
          <t>TUT-016</t>
        </is>
      </c>
      <c r="B20" s="20" t="inlineStr">
        <is>
          <t>Docker for Developers</t>
        </is>
      </c>
      <c r="C20" s="22" t="inlineStr">
        <is>
          <t>freeCodeCamp / TechWorld with Nana</t>
        </is>
      </c>
      <c r="D20" s="31" t="inlineStr">
        <is>
          <t>https://www.youtube.com/watch?v=3c-iBn73dDE</t>
        </is>
      </c>
      <c r="E20" s="19" t="inlineStr">
        <is>
          <t>DevOps</t>
        </is>
      </c>
      <c r="F20" s="22" t="inlineStr">
        <is>
          <t>Intermediate</t>
        </is>
      </c>
      <c r="G20" s="22" t="inlineStr">
        <is>
          <t>Video &amp; Hands-on</t>
        </is>
      </c>
      <c r="H20" s="39" t="n">
        <v>5</v>
      </c>
      <c r="I20" s="39" t="n">
        <v>0</v>
      </c>
      <c r="J20" s="22" t="inlineStr">
        <is>
          <t>2027-09-24</t>
        </is>
      </c>
      <c r="K20" s="22" t="inlineStr"/>
      <c r="L20" s="19" t="inlineStr">
        <is>
          <t>Not Started</t>
        </is>
      </c>
      <c r="M20" s="21" t="inlineStr">
        <is>
          <t>Container isolation, volumes, networks, Dockerfiles, and multi-container Docker Compose.</t>
        </is>
      </c>
      <c r="N20" s="21" t="inlineStr">
        <is>
          <t>Containerized FastAPI app with Postgres and Redis</t>
        </is>
      </c>
      <c r="O20" s="22" t="n"/>
      <c r="P20" s="21" t="inlineStr">
        <is>
          <t>Crucial for reliable deployments on Render and Hetzner.</t>
        </is>
      </c>
    </row>
    <row r="21" ht="24" customHeight="1">
      <c r="A21" s="24" t="inlineStr">
        <is>
          <t>TOTAL TUTORIAL HOURS</t>
        </is>
      </c>
      <c r="B21" s="25" t="n"/>
      <c r="C21" s="25" t="n"/>
      <c r="D21" s="25" t="n"/>
      <c r="E21" s="25" t="n"/>
      <c r="F21" s="25" t="n"/>
      <c r="G21" s="25" t="n"/>
      <c r="H21" s="35">
        <f>SUM(H5:H20)</f>
        <v/>
      </c>
      <c r="I21" s="35">
        <f>SUM(I5:I20)</f>
        <v/>
      </c>
      <c r="J21" s="25" t="n"/>
      <c r="K21" s="25" t="n"/>
      <c r="L21" s="25" t="n"/>
      <c r="M21" s="25" t="n"/>
      <c r="N21" s="25" t="n"/>
      <c r="O21" s="25" t="n"/>
      <c r="P21" s="25" t="n"/>
    </row>
  </sheetData>
  <autoFilter ref="A4:P20"/>
  <mergeCells count="1">
    <mergeCell ref="A21:G21"/>
  </mergeCells>
  <dataValidations count="2">
    <dataValidation sqref="L5:L20" showDropDown="0" showInputMessage="0" showErrorMessage="0" allowBlank="1" type="list">
      <formula1>"Not Started,In Progress,Completed,Skipped"</formula1>
    </dataValidation>
    <dataValidation sqref="O5:O2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8" customWidth="1" min="3" max="3"/>
    <col width="12" customWidth="1" min="4" max="4"/>
    <col width="25" customWidth="1" min="5" max="5"/>
    <col width="25" customWidth="1" min="6" max="6"/>
    <col width="28" customWidth="1" min="7" max="7"/>
    <col width="16" customWidth="1" min="8" max="8"/>
    <col width="28" customWidth="1" min="9" max="9"/>
    <col width="12" customWidth="1" min="10" max="10"/>
    <col width="13" customWidth="1" min="11" max="11"/>
    <col width="11" customWidth="1" min="12" max="12"/>
    <col width="12" customWidth="1" min="13" max="13"/>
    <col width="12" customWidth="1" min="14" max="14"/>
    <col width="28" customWidth="1" min="15" max="15"/>
    <col width="26" customWidth="1" min="16" max="16"/>
    <col width="24" customWidth="1" min="17" max="17"/>
    <col width="24" customWidth="1" min="18" max="18"/>
    <col width="25" customWidth="1" min="19" max="19"/>
    <col width="25" customWidth="1" min="20" max="20"/>
  </cols>
  <sheetData>
    <row r="1" ht="24" customHeight="1">
      <c r="A1" s="12" t="inlineStr">
        <is>
          <t>AI PROJECT BACKLOG &amp; PRACTICAL PORTFOLIO ROADMAP</t>
        </is>
      </c>
    </row>
    <row r="2" ht="18" customHeight="1">
      <c r="A2" s="2" t="inlineStr">
        <is>
          <t>10 Practical Milestones Progressing from Core Data Science to an Autonomous, Commercial-Grade AI Sales Employee Platform</t>
        </is>
      </c>
    </row>
    <row r="4" ht="28" customHeight="1">
      <c r="A4" s="13" t="inlineStr">
        <is>
          <t>Project ID</t>
        </is>
      </c>
      <c r="B4" s="13" t="inlineStr">
        <is>
          <t>Project Name</t>
        </is>
      </c>
      <c r="C4" s="13" t="inlineStr">
        <is>
          <t>Business Problem</t>
        </is>
      </c>
      <c r="D4" s="13" t="inlineStr">
        <is>
          <t>Learning Phase</t>
        </is>
      </c>
      <c r="E4" s="13" t="inlineStr">
        <is>
          <t>Required Skills</t>
        </is>
      </c>
      <c r="F4" s="13" t="inlineStr">
        <is>
          <t>Technology Stack</t>
        </is>
      </c>
      <c r="G4" s="13" t="inlineStr">
        <is>
          <t>Feature List</t>
        </is>
      </c>
      <c r="H4" s="13" t="inlineStr">
        <is>
          <t>Prerequisites</t>
        </is>
      </c>
      <c r="I4" s="13" t="inlineStr">
        <is>
          <t>Tasks and Subtasks</t>
        </is>
      </c>
      <c r="J4" s="13" t="inlineStr">
        <is>
          <t>Target Date</t>
        </is>
      </c>
      <c r="K4" s="13" t="inlineStr">
        <is>
          <t>Status</t>
        </is>
      </c>
      <c r="L4" s="13" t="inlineStr">
        <is>
          <t>Priority</t>
        </is>
      </c>
      <c r="M4" s="13" t="inlineStr">
        <is>
          <t>Estimated Effort (hrs)</t>
        </is>
      </c>
      <c r="N4" s="13" t="inlineStr">
        <is>
          <t>Actual Effort (hrs)</t>
        </is>
      </c>
      <c r="O4" s="13" t="inlineStr">
        <is>
          <t>Acceptance Criteria</t>
        </is>
      </c>
      <c r="P4" s="13" t="inlineStr">
        <is>
          <t>Testing Requirements</t>
        </is>
      </c>
      <c r="Q4" s="13" t="inlineStr">
        <is>
          <t>GitHub Repository</t>
        </is>
      </c>
      <c r="R4" s="13" t="inlineStr">
        <is>
          <t>Demo URL</t>
        </is>
      </c>
      <c r="S4" s="13" t="inlineStr">
        <is>
          <t>Known Risks</t>
        </is>
      </c>
      <c r="T4" s="13" t="inlineStr">
        <is>
          <t>Lessons Learned / Next Milestone</t>
        </is>
      </c>
    </row>
    <row r="5" ht="65" customHeight="1">
      <c r="A5" s="14" t="inlineStr">
        <is>
          <t>PRJ-001</t>
        </is>
      </c>
      <c r="B5" s="15" t="inlineStr">
        <is>
          <t>Sales Data Analysis &amp; Customer Segmentation</t>
        </is>
      </c>
      <c r="C5" s="16" t="inlineStr">
        <is>
          <t>Sales teams lack visibility into which customer segments generate the highest lifetime value and have the shortest sales cycles.</t>
        </is>
      </c>
      <c r="D5" s="14" t="inlineStr">
        <is>
          <t>Phase 2</t>
        </is>
      </c>
      <c r="E5" s="16" t="inlineStr">
        <is>
          <t>Data cleaning, feature engineering, statistical aggregation, exploratory visualization</t>
        </is>
      </c>
      <c r="F5" s="16" t="inlineStr">
        <is>
          <t>Python, Pandas, NumPy, Matplotlib, Seaborn, Jupyter Notebook</t>
        </is>
      </c>
      <c r="G5" s="16" t="inlineStr">
        <is>
          <t>1. Automated ingestion of raw CRM transaction CSVs.
2. Customer RFM (Recency, Frequency, Monetary) segmentation.
3. Sales pipeline velocity calculation by industry.
4. Correlation matrix and interactive cohort heatmaps.</t>
        </is>
      </c>
      <c r="H5" s="16" t="inlineStr">
        <is>
          <t>Phase 1 Python &amp; statistics</t>
        </is>
      </c>
      <c r="I5" s="16" t="inlineStr">
        <is>
          <t>1. Data hygiene &amp; outlier treatment.
2. Calculate RFM scores.
3. Segment customers into 4 quartiles.
4. Produce markdown executive summary.</t>
        </is>
      </c>
      <c r="J5" s="17" t="inlineStr">
        <is>
          <t>2026-12-20</t>
        </is>
      </c>
      <c r="K5" s="14" t="inlineStr">
        <is>
          <t>Not Started</t>
        </is>
      </c>
      <c r="L5" s="14" t="inlineStr">
        <is>
          <t>High</t>
        </is>
      </c>
      <c r="M5" s="38" t="n">
        <v>25</v>
      </c>
      <c r="N5" s="38" t="n">
        <v>0</v>
      </c>
      <c r="O5" s="16" t="inlineStr">
        <is>
          <t>Clean reproducible Jupyter notebook producing RFM segments, visual charts, and actionable sales recommendations without execution errors.</t>
        </is>
      </c>
      <c r="P5" s="16" t="inlineStr">
        <is>
          <t>Pytest asserting data cleaning functions handle NaNs and duplicate transaction IDs properly.</t>
        </is>
      </c>
      <c r="Q5" s="27" t="inlineStr">
        <is>
          <t>https://github.com/tasim/sales-data-segmentation</t>
        </is>
      </c>
      <c r="R5" s="30" t="inlineStr"/>
      <c r="S5" s="16" t="inlineStr">
        <is>
          <t>Missing transaction records and dirty timestamp formats in real-world CRM extracts.</t>
        </is>
      </c>
      <c r="T5" s="16" t="inlineStr">
        <is>
          <t>Mastered vectorized Pandas operations and business KPI definitions.</t>
        </is>
      </c>
    </row>
    <row r="6" ht="65" customHeight="1">
      <c r="A6" s="19" t="inlineStr">
        <is>
          <t>PRJ-002</t>
        </is>
      </c>
      <c r="B6" s="20" t="inlineStr">
        <is>
          <t>Customer Purchase Prediction Model</t>
        </is>
      </c>
      <c r="C6" s="21" t="inlineStr">
        <is>
          <t>Sales reps waste 60% of their time calling cold leads who have almost zero probability of purchasing enterprise software.</t>
        </is>
      </c>
      <c r="D6" s="19" t="inlineStr">
        <is>
          <t>Phase 2</t>
        </is>
      </c>
      <c r="E6" s="21" t="inlineStr">
        <is>
          <t>Supervised classification, feature scaling, model selection, hyperparameter tuning, metric evaluation</t>
        </is>
      </c>
      <c r="F6" s="21" t="inlineStr">
        <is>
          <t>Python, Scikit-Learn, XGBoost, Pandas, Joblib</t>
        </is>
      </c>
      <c r="G6" s="21" t="inlineStr">
        <is>
          <t>1. Feature pipeline transforming categorical company data and engagement signals.
2. Trained XGBoost classifier predicting purchase probability.
3. Threshold optimizer prioritizing high-precision lead calling.
4. Exportable scoring pipeline function.</t>
        </is>
      </c>
      <c r="H6" s="21" t="inlineStr">
        <is>
          <t>PRJ-001, Scikit-learn basics</t>
        </is>
      </c>
      <c r="I6" s="21" t="inlineStr">
        <is>
          <t>1. Feature selection &amp; train/test split.
2. Address class imbalance with SMOTE/class weights.
3. Grid search hyperparameter tuning.
4. Save trained pipeline to .joblib.</t>
        </is>
      </c>
      <c r="J6" s="22" t="inlineStr">
        <is>
          <t>2026-12-31</t>
        </is>
      </c>
      <c r="K6" s="19" t="inlineStr">
        <is>
          <t>Not Started</t>
        </is>
      </c>
      <c r="L6" s="19" t="inlineStr">
        <is>
          <t>High</t>
        </is>
      </c>
      <c r="M6" s="39" t="n">
        <v>30</v>
      </c>
      <c r="N6" s="39" t="n">
        <v>0</v>
      </c>
      <c r="O6" s="21" t="inlineStr">
        <is>
          <t>Classifier achieves ROC-AUC &gt; 0.85 and Precision &gt; 75% on held-out test split, outperforming naive baseline by 3x.</t>
        </is>
      </c>
      <c r="P6" s="21" t="inlineStr">
        <is>
          <t>Cross-validation verification asserting zero feature leakage between train and test folds.</t>
        </is>
      </c>
      <c r="Q6" s="31" t="inlineStr">
        <is>
          <t>https://github.com/tasim/lead-purchase-predictor</t>
        </is>
      </c>
      <c r="R6" s="34" t="inlineStr"/>
      <c r="S6" s="21" t="inlineStr">
        <is>
          <t>Overfitting to historical data due to shifting customer behavior seasonality.</t>
        </is>
      </c>
      <c r="T6" s="21" t="inlineStr">
        <is>
          <t>Learned how to set decision thresholds based on actual sales call labor cost.</t>
        </is>
      </c>
    </row>
    <row r="7" ht="65" customHeight="1">
      <c r="A7" s="14" t="inlineStr">
        <is>
          <t>PRJ-003</t>
        </is>
      </c>
      <c r="B7" s="15" t="inlineStr">
        <is>
          <t>Customer Message Intent &amp; Urgency Classifier</t>
        </is>
      </c>
      <c r="C7" s="16" t="inlineStr">
        <is>
          <t>Customer inquiries arrive in high volume across email and chat without automated routing to appropriate specialists.</t>
        </is>
      </c>
      <c r="D7" s="14" t="inlineStr">
        <is>
          <t>Phase 3</t>
        </is>
      </c>
      <c r="E7" s="16" t="inlineStr">
        <is>
          <t>Neural network architecture, text tokenization, embeddings, PyTorch training loop</t>
        </is>
      </c>
      <c r="F7" s="16" t="inlineStr">
        <is>
          <t>Python, PyTorch, Hugging Face Tokenizers, Scikit-Learn</t>
        </is>
      </c>
      <c r="G7" s="16" t="inlineStr">
        <is>
          <t>1. Multi-class text classification into: Demo Request, Pricing Inquiry, Technical Question, Complaint, General Info.
2. Secondary binary classifier for High Urgency vs Normal.
3. PyTorch inference class returning probabilities and confidence scores.</t>
        </is>
      </c>
      <c r="H7" s="16" t="inlineStr">
        <is>
          <t>Phase 3 PyTorch basics</t>
        </is>
      </c>
      <c r="I7" s="16" t="inlineStr">
        <is>
          <t>1. Dataset labeling and preprocessing.
2. Implement PyTorch MLP with embedding layer.
3. Training loop with early stopping.
4. Evaluate confusion matrix.</t>
        </is>
      </c>
      <c r="J7" s="17" t="inlineStr">
        <is>
          <t>2027-01-25</t>
        </is>
      </c>
      <c r="K7" s="14" t="inlineStr">
        <is>
          <t>Not Started</t>
        </is>
      </c>
      <c r="L7" s="14" t="inlineStr">
        <is>
          <t>Medium</t>
        </is>
      </c>
      <c r="M7" s="38" t="n">
        <v>35</v>
      </c>
      <c r="N7" s="38" t="n">
        <v>0</v>
      </c>
      <c r="O7" s="16" t="inlineStr">
        <is>
          <t>Model achieves Macro F1 &gt; 0.84 across 5 intent classes on 1,000 test messages.</t>
        </is>
      </c>
      <c r="P7" s="16" t="inlineStr">
        <is>
          <t>Unit tests asserting model handles empty strings, emojis, and very long text inputs gracefully.</t>
        </is>
      </c>
      <c r="Q7" s="27" t="inlineStr">
        <is>
          <t>https://github.com/tasim/customer-intent-classifier</t>
        </is>
      </c>
      <c r="R7" s="30" t="inlineStr"/>
      <c r="S7" s="16" t="inlineStr">
        <is>
          <t>Ambiguous multi-intent messages (e.g. asking both about pricing and filing a technical bug).</t>
        </is>
      </c>
      <c r="T7" s="16" t="inlineStr">
        <is>
          <t>Understood internal mechanics of PyTorch tensors, autograd, and classification loss functions.</t>
        </is>
      </c>
    </row>
    <row r="8" ht="65" customHeight="1">
      <c r="A8" s="19" t="inlineStr">
        <is>
          <t>PRJ-004</t>
        </is>
      </c>
      <c r="B8" s="20" t="inlineStr">
        <is>
          <t>Product Knowledge Assistant using RAG</t>
        </is>
      </c>
      <c r="C8" s="21" t="inlineStr">
        <is>
          <t>Sales reps and potential buyers struggle to find accurate technical specifications and pricing details buried in 200-page product catalogs.</t>
        </is>
      </c>
      <c r="D8" s="19" t="inlineStr">
        <is>
          <t>Phase 6</t>
        </is>
      </c>
      <c r="E8" s="21" t="inlineStr">
        <is>
          <t>Document chunking, vector embeddings, vector databases, hybrid retrieval, citation grounding</t>
        </is>
      </c>
      <c r="F8" s="21" t="inlineStr">
        <is>
          <t>Python, FastAPI, pgvector, PostgreSQL, LangChain/LlamaIndex, OpenAI/Gemini Embeddings</t>
        </is>
      </c>
      <c r="G8" s="21" t="inlineStr">
        <is>
          <t>1. Automated PDF/Markdown catalog ingestion pipeline.
2. Semantic chunking with page and section metadata.
3. Hybrid search (Dense cosine similarity + BM25 keyword search).
4. Verified citation generation with page number references.</t>
        </is>
      </c>
      <c r="H8" s="21" t="inlineStr">
        <is>
          <t>Phase 5 LLM APIs, Phase 6 Vector stores</t>
        </is>
      </c>
      <c r="I8" s="21" t="inlineStr">
        <is>
          <t>1. Set up Docker PostgreSQL pgvector.
2. Chunk company product manuals.
3. Ingest embeddings.
4. Build RAG retrieval query pipeline.
5. Benchmark retrieval precision.</t>
        </is>
      </c>
      <c r="J8" s="22" t="inlineStr">
        <is>
          <t>2027-04-20</t>
        </is>
      </c>
      <c r="K8" s="19" t="inlineStr">
        <is>
          <t>Not Started</t>
        </is>
      </c>
      <c r="L8" s="19" t="inlineStr">
        <is>
          <t>High</t>
        </is>
      </c>
      <c r="M8" s="39" t="n">
        <v>40</v>
      </c>
      <c r="N8" s="39" t="n">
        <v>0</v>
      </c>
      <c r="O8" s="21" t="inlineStr">
        <is>
          <t>Answers factual product questions with 100% citation accuracy; refuses out-of-domain questions with zero hallucination.</t>
        </is>
      </c>
      <c r="P8" s="21" t="inlineStr">
        <is>
          <t>Automated test suite using RAGAS asserting Faithfulness &gt; 0.90 and Answer Relevance &gt; 0.88.</t>
        </is>
      </c>
      <c r="Q8" s="31" t="inlineStr">
        <is>
          <t>https://github.com/tasim/product-knowledge-rag</t>
        </is>
      </c>
      <c r="R8" s="34" t="inlineStr"/>
      <c r="S8" s="21" t="inlineStr">
        <is>
          <t>Chunk boundary splitting that separates pricing table headers from price values.</t>
        </is>
      </c>
      <c r="T8" s="21" t="inlineStr">
        <is>
          <t>Learned importance of hybrid search for exact product SKU numbers.</t>
        </is>
      </c>
    </row>
    <row r="9" ht="65" customHeight="1">
      <c r="A9" s="14" t="inlineStr">
        <is>
          <t>PRJ-005</t>
        </is>
      </c>
      <c r="B9" s="15" t="inlineStr">
        <is>
          <t>Tool-Using Autonomous Research Agent</t>
        </is>
      </c>
      <c r="C9" s="16" t="inlineStr">
        <is>
          <t>Pre-call prospect research requires manual searching across LinkedIn, Google, company websites, and CRM systems, taking 30 minutes per lead.</t>
        </is>
      </c>
      <c r="D9" s="14" t="inlineStr">
        <is>
          <t>Phase 7</t>
        </is>
      </c>
      <c r="E9" s="16" t="inlineStr">
        <is>
          <t>Tool calling schemas, ReAct loop, Pydantic validation, external API consumption</t>
        </is>
      </c>
      <c r="F9" s="16" t="inlineStr">
        <is>
          <t>Python, OpenAI Function Calling, Tavily Search API, Pydantic, Requests</t>
        </is>
      </c>
      <c r="G9" s="16" t="inlineStr">
        <is>
          <t>1. Custom ReAct reasoning loop in pure Python.
2. 4 Tools: `search_company_web`, `get_crm_account`, `calculate_market_size`, `save_lead_summary`.
3. Automated lead dossier generation in structured Markdown format.</t>
        </is>
      </c>
      <c r="H9" s="16" t="inlineStr">
        <is>
          <t>Phase 5 Structured Outputs, Phase 7 Tools</t>
        </is>
      </c>
      <c r="I9" s="16" t="inlineStr">
        <is>
          <t>1. Define tool schemas with Pydantic.
2. Implement execution dispatcher.
3. Build autonomous ReAct loop with max iteration limits.
4. Output formatted executive briefing.</t>
        </is>
      </c>
      <c r="J9" s="17" t="inlineStr">
        <is>
          <t>2027-05-25</t>
        </is>
      </c>
      <c r="K9" s="14" t="inlineStr">
        <is>
          <t>Not Started</t>
        </is>
      </c>
      <c r="L9" s="14" t="inlineStr">
        <is>
          <t>High</t>
        </is>
      </c>
      <c r="M9" s="38" t="n">
        <v>35</v>
      </c>
      <c r="N9" s="38" t="n">
        <v>0</v>
      </c>
      <c r="O9" s="16" t="inlineStr">
        <is>
          <t>Agent independently executes 3-4 tool calls in sequence to research an unfamiliar company and outputs complete structured lead profile.</t>
        </is>
      </c>
      <c r="P9" s="16" t="inlineStr">
        <is>
          <t>Mocked API tests verifying tool call failure recovery and circuit breaking after 5 iterations.</t>
        </is>
      </c>
      <c r="Q9" s="27" t="inlineStr">
        <is>
          <t>https://github.com/tasim/autonomous-research-agent</t>
        </is>
      </c>
      <c r="R9" s="30" t="inlineStr"/>
      <c r="S9" s="16" t="inlineStr">
        <is>
          <t>Infinite loops when LLM cannot find answer from web search results.</t>
        </is>
      </c>
      <c r="T9" s="16" t="inlineStr">
        <is>
          <t>Built robust tool parameter validation and error feedback loops.</t>
        </is>
      </c>
    </row>
    <row r="10" ht="65" customHeight="1">
      <c r="A10" s="19" t="inlineStr">
        <is>
          <t>PRJ-006</t>
        </is>
      </c>
      <c r="B10" s="20" t="inlineStr">
        <is>
          <t>Lead Qualification &amp; BANT Scoring Agent</t>
        </is>
      </c>
      <c r="C10" s="21" t="inlineStr">
        <is>
          <t>Inbound leads receive generic follow-ups because sales teams cannot interview every prospect to establish Budget, Authority, Need, and Timing.</t>
        </is>
      </c>
      <c r="D10" s="19" t="inlineStr">
        <is>
          <t>Phase 8</t>
        </is>
      </c>
      <c r="E10" s="21" t="inlineStr">
        <is>
          <t>State machines, LangGraph, conversational steering, deterministic scoring algorithms</t>
        </is>
      </c>
      <c r="F10" s="21" t="inlineStr">
        <is>
          <t>Python, LangGraph, Pydantic, SQLite persistence</t>
        </is>
      </c>
      <c r="G10" s="21" t="inlineStr">
        <is>
          <t>1. Consultative conversation graph that naturally asks qualifying questions.
2. Dynamic BANT score updater (0-100 points).
3. Automatic categorization into Hot, Warm, Cold.
4. SQLite thread state persistence across conversational pauses.</t>
        </is>
      </c>
      <c r="H10" s="21" t="inlineStr">
        <is>
          <t>PRJ-004, PRJ-005, LangGraph basics</t>
        </is>
      </c>
      <c r="I10" s="21" t="inlineStr">
        <is>
          <t>1. Define StateGraph schema.
2. Implement qualification nodes.
3. Build BANT scoring logic.
4. Add SQLite checkpointer.</t>
        </is>
      </c>
      <c r="J10" s="22" t="inlineStr">
        <is>
          <t>2027-06-25</t>
        </is>
      </c>
      <c r="K10" s="19" t="inlineStr">
        <is>
          <t>Not Started</t>
        </is>
      </c>
      <c r="L10" s="19" t="inlineStr">
        <is>
          <t>High</t>
        </is>
      </c>
      <c r="M10" s="39" t="n">
        <v>45</v>
      </c>
      <c r="N10" s="39" t="n">
        <v>0</v>
      </c>
      <c r="O10" s="21" t="inlineStr">
        <is>
          <t>Agent sustains multi-turn conversation, gathers all 4 BANT criteria without sounding robotic, and calculates accurate qualification score.</t>
        </is>
      </c>
      <c r="P10" s="21" t="inlineStr">
        <is>
          <t>Simulated conversation test suite running 20 distinct buyer personas through qualification flow.</t>
        </is>
      </c>
      <c r="Q10" s="31" t="inlineStr">
        <is>
          <t>https://github.com/tasim/lead-qualification-agent</t>
        </is>
      </c>
      <c r="R10" s="34" t="inlineStr"/>
      <c r="S10" s="21" t="inlineStr">
        <is>
          <t>Prospects resisting budget questions or giving evasive answers.</t>
        </is>
      </c>
      <c r="T10" s="21" t="inlineStr">
        <is>
          <t>Learned consultative prompting techniques to extract business pain before asking about budget.</t>
        </is>
      </c>
    </row>
    <row r="11" ht="65" customHeight="1">
      <c r="A11" s="14" t="inlineStr">
        <is>
          <t>PRJ-007</t>
        </is>
      </c>
      <c r="B11" s="15" t="inlineStr">
        <is>
          <t>Autonomous AI Sales Employee with Follow-ups</t>
        </is>
      </c>
      <c r="C11" s="16" t="inlineStr">
        <is>
          <t>Over 70% of sales opportunities die from poor follow-up cadence; human reps forget to follow up after the first email or message.</t>
        </is>
      </c>
      <c r="D11" s="14" t="inlineStr">
        <is>
          <t>Phase 9</t>
        </is>
      </c>
      <c r="E11" s="16" t="inlineStr">
        <is>
          <t>Multi-touch state machine, background scheduling, email &amp; WhatsApp integration, dynamic message personalization</t>
        </is>
      </c>
      <c r="F11" s="16" t="inlineStr">
        <is>
          <t>Python, FastAPI, Celery / Redis, PostgreSQL, SendGrid API, WhatsApp Cloud API</t>
        </is>
      </c>
      <c r="G11" s="16" t="inlineStr">
        <is>
          <t>1. Multi-channel messaging (Email + WhatsApp).
2. Stateful follow-up cadence (Day 1, Day 3, Day 7, Day 14).
3. Dynamic message adaptation based on lead opens/clicks.
4. Automatic cadence cancellation when lead replies or books meeting.</t>
        </is>
      </c>
      <c r="H11" s="16" t="inlineStr">
        <is>
          <t>PRJ-006, Redis, Celery</t>
        </is>
      </c>
      <c r="I11" s="16" t="inlineStr">
        <is>
          <t>1. Build Celery scheduled task worker.
2. Implement webhook handlers for message replies.
3. Integrate SendGrid and WhatsApp Cloud APIs.
4. Test follow-up state transitions.</t>
        </is>
      </c>
      <c r="J11" s="17" t="inlineStr">
        <is>
          <t>2027-07-31</t>
        </is>
      </c>
      <c r="K11" s="14" t="inlineStr">
        <is>
          <t>Not Started</t>
        </is>
      </c>
      <c r="L11" s="14" t="inlineStr">
        <is>
          <t>High</t>
        </is>
      </c>
      <c r="M11" s="38" t="n">
        <v>50</v>
      </c>
      <c r="N11" s="38" t="n">
        <v>0</v>
      </c>
      <c r="O11" s="16" t="inlineStr">
        <is>
          <t>System executes timed follow-up sequences across 10 simulated leads, pauses immediately when a reply is detected, and updates CRM status.</t>
        </is>
      </c>
      <c r="P11" s="16" t="inlineStr">
        <is>
          <t>Integration tests verifying webhook reply triggers cancellation of future queued follow-up tasks.</t>
        </is>
      </c>
      <c r="Q11" s="27" t="inlineStr">
        <is>
          <t>https://github.com/tasim/ai-sales-employee-cadence</t>
        </is>
      </c>
      <c r="R11" s="30" t="inlineStr"/>
      <c r="S11" s="16" t="inlineStr">
        <is>
          <t>Deliverability and spam filtering risks with automated email sequences.</t>
        </is>
      </c>
      <c r="T11" s="16" t="inlineStr">
        <is>
          <t>Engineered natural conversational variation and human-like delay intervals between touchpoints.</t>
        </is>
      </c>
    </row>
    <row r="12" ht="65" customHeight="1">
      <c r="A12" s="19" t="inlineStr">
        <is>
          <t>PRJ-008</t>
        </is>
      </c>
      <c r="B12" s="20" t="inlineStr">
        <is>
          <t>AI Price Negotiation &amp; Quotation Generator Assistant</t>
        </is>
      </c>
      <c r="C12" s="21" t="inlineStr">
        <is>
          <t>Custom sales quoting takes hours of manual back-and-forth; sales reps often offer unauthorized discounts or make pricing calculation errors.</t>
        </is>
      </c>
      <c r="D12" s="19" t="inlineStr">
        <is>
          <t>Phase 9</t>
        </is>
      </c>
      <c r="E12" s="21" t="inlineStr">
        <is>
          <t>Rule-based business guardrails, PDF document generation, payment gateway integration</t>
        </is>
      </c>
      <c r="F12" s="21" t="inlineStr">
        <is>
          <t>Python, ReportLab / WeasyPrint, Jinja2, Stripe API, Pydantic</t>
        </is>
      </c>
      <c r="G12" s="21" t="inlineStr">
        <is>
          <t>1. Strict negotiation logic adhering to maximum allowable discount tiers.
2. Dynamic PDF sales quotation generator with branded layout.
3. Embedded Stripe checkout / deposit payment link.
4. Audit logging of all negotiated concession terms.</t>
        </is>
      </c>
      <c r="H12" s="21" t="inlineStr">
        <is>
          <t>PRJ-006, PRJ-007</t>
        </is>
      </c>
      <c r="I12" s="21" t="inlineStr">
        <is>
          <t>1. Program mathematical discount rules.
2. Design HTML/Jinja2 PDF quote template.
3. Build Stripe payment intent generator.
4. Connect quote generation tool to agent.</t>
        </is>
      </c>
      <c r="J12" s="22" t="inlineStr">
        <is>
          <t>2027-08-15</t>
        </is>
      </c>
      <c r="K12" s="19" t="inlineStr">
        <is>
          <t>Not Started</t>
        </is>
      </c>
      <c r="L12" s="19" t="inlineStr">
        <is>
          <t>High</t>
        </is>
      </c>
      <c r="M12" s="39" t="n">
        <v>40</v>
      </c>
      <c r="N12" s="39" t="n">
        <v>0</v>
      </c>
      <c r="O12" s="21" t="inlineStr">
        <is>
          <t>Agent negotiates within authorized bounds, produces a clean, professional PDF quote, and emails it to the buyer with an active payment link.</t>
        </is>
      </c>
      <c r="P12" s="21" t="inlineStr">
        <is>
          <t>100 automated adversarial tests confirming the agent never agrees to discounts exceeding business policy.</t>
        </is>
      </c>
      <c r="Q12" s="31" t="inlineStr">
        <is>
          <t>https://github.com/tasim/ai-negotiation-quotation-engine</t>
        </is>
      </c>
      <c r="R12" s="34" t="inlineStr"/>
      <c r="S12" s="21" t="inlineStr">
        <is>
          <t>Adversarial prompt injection attacks where buyers convince the LLM to give 90% discounts.</t>
        </is>
      </c>
      <c r="T12" s="21" t="inlineStr">
        <is>
          <t>Enforced strict deterministic code-level price validation outside the LLM context.</t>
        </is>
      </c>
    </row>
    <row r="13" ht="65" customHeight="1">
      <c r="A13" s="14" t="inlineStr">
        <is>
          <t>PRJ-009</t>
        </is>
      </c>
      <c r="B13" s="15" t="inlineStr">
        <is>
          <t>Collaborative Multi-Agent Sales Team</t>
        </is>
      </c>
      <c r="C13" s="16" t="inlineStr">
        <is>
          <t>Complex enterprise sales require specialized roles: SDR for prospecting, Solution Engineer for technical Q&amp;A, and Account Executive for closing.</t>
        </is>
      </c>
      <c r="D13" s="14" t="inlineStr">
        <is>
          <t>Phase 8 &amp; 9</t>
        </is>
      </c>
      <c r="E13" s="16" t="inlineStr">
        <is>
          <t>Multi-agent coordination, supervisor patterns, LangGraph, CrewAI</t>
        </is>
      </c>
      <c r="F13" s="16" t="inlineStr">
        <is>
          <t>Python, LangGraph, CrewAI, ChromaDB, FastAPI</t>
        </is>
      </c>
      <c r="G13" s="16" t="inlineStr">
        <is>
          <t>1. 3 Specialized Autonomous Agents: Prospector Agent, Technical Solution Agent, and Deal Closing Agent.
2. Supervisor router routing customer inquiries to the appropriate agent.
3. Shared conversational memory and handover protocols.</t>
        </is>
      </c>
      <c r="H13" s="16" t="inlineStr">
        <is>
          <t>PRJ-004 through PRJ-008</t>
        </is>
      </c>
      <c r="I13" s="16" t="inlineStr">
        <is>
          <t>1. Define individual agent personas and system prompts.
2. Implement supervisor routing node in LangGraph.
3. Build shared conversation state schema.
4. Run full enterprise sales cycle simulation.</t>
        </is>
      </c>
      <c r="J13" s="17" t="inlineStr">
        <is>
          <t>2027-08-31</t>
        </is>
      </c>
      <c r="K13" s="14" t="inlineStr">
        <is>
          <t>Not Started</t>
        </is>
      </c>
      <c r="L13" s="14" t="inlineStr">
        <is>
          <t>Medium</t>
        </is>
      </c>
      <c r="M13" s="38" t="n">
        <v>45</v>
      </c>
      <c r="N13" s="38" t="n">
        <v>0</v>
      </c>
      <c r="O13" s="16" t="inlineStr">
        <is>
          <t>Multi-agent team collaboratively handles lead from first touch through technical product inquiry to final contract quotation seamlessly.</t>
        </is>
      </c>
      <c r="P13" s="16" t="inlineStr">
        <is>
          <t>End-to-end integration tests measuring token efficiency and inter-agent latency.</t>
        </is>
      </c>
      <c r="Q13" s="27" t="inlineStr">
        <is>
          <t>https://github.com/tasim/multi-agent-sales-team</t>
        </is>
      </c>
      <c r="R13" s="30" t="inlineStr"/>
      <c r="S13" s="16" t="inlineStr">
        <is>
          <t>Token explosion and latency compounding across multiple sequential LLM calls.</t>
        </is>
      </c>
      <c r="T13" s="16" t="inlineStr">
        <is>
          <t>Optimized state distillation so agents pass concise summaries rather than full conversation histories.</t>
        </is>
      </c>
    </row>
    <row r="14" ht="65" customHeight="1">
      <c r="A14" s="19" t="inlineStr">
        <is>
          <t>PRJ-010</t>
        </is>
      </c>
      <c r="B14" s="20" t="inlineStr">
        <is>
          <t>Production-Ready AI Sales Platform (Commercial MVP)</t>
        </is>
      </c>
      <c r="C14" s="21" t="inlineStr">
        <is>
          <t>Commercial businesses require a secure, multi-tenant, monitored web platform with human-in-the-loop oversight to safely deploy AI sales reps.</t>
        </is>
      </c>
      <c r="D14" s="19" t="inlineStr">
        <is>
          <t>Phase 11 &amp; 12</t>
        </is>
      </c>
      <c r="E14" s="21" t="inlineStr">
        <is>
          <t>Full-stack architecture, Docker, FastAPI, PostgreSQL, Redis, Next.js, LangSmith, OWASP Security</t>
        </is>
      </c>
      <c r="F14" s="21" t="inlineStr">
        <is>
          <t>Next.js, TypeScript, Tailwind CSS, FastAPI, PostgreSQL (pgvector), Docker, Render/Hetzner, LangSmith</t>
        </is>
      </c>
      <c r="G14" s="21" t="inlineStr">
        <is>
          <t>1. Full multi-tenant web platform with live sales dashboard.
2. Human-in-the-loop approval inbox for high-value quotes and flagged escalations.
3. Conversation transcript viewer with sentiment analysis.
4. Dockerized one-click cloud deployment on Render.
5. Production rate limiting, auth, and OWASP defenses.</t>
        </is>
      </c>
      <c r="H14" s="21" t="inlineStr">
        <is>
          <t>All previous projects (PRJ-001 through PRJ-009)</t>
        </is>
      </c>
      <c r="I14" s="21" t="inlineStr">
        <is>
          <t>1. Build FastAPI production backend with JWT auth.
2. Build Next.js operational dashboard.
3. Write Dockerfile &amp; docker-compose stack.
4. Deploy to Render with persistent disk &amp; PostgreSQL.
5. Conduct load test &amp; security audit.</t>
        </is>
      </c>
      <c r="J14" s="22" t="inlineStr">
        <is>
          <t>2027-10-15</t>
        </is>
      </c>
      <c r="K14" s="19" t="inlineStr">
        <is>
          <t>Not Started</t>
        </is>
      </c>
      <c r="L14" s="19" t="inlineStr">
        <is>
          <t>High</t>
        </is>
      </c>
      <c r="M14" s="39" t="n">
        <v>70</v>
      </c>
      <c r="N14" s="39" t="n">
        <v>0</v>
      </c>
      <c r="O14" s="21" t="inlineStr">
        <is>
          <t>Fully working commercial platform deployed online; handles live chats, executes tool calls, allows human intervention, and logs all metrics reliably.</t>
        </is>
      </c>
      <c r="P14" s="21" t="inlineStr">
        <is>
          <t>End-to-end Cypress/Playwright frontend tests, Locust load testing (50 concurrent users), and OWASP security vulnerability scan.</t>
        </is>
      </c>
      <c r="Q14" s="31" t="inlineStr">
        <is>
          <t>https://github.com/tasim/autonomous-ai-sales-platform</t>
        </is>
      </c>
      <c r="R14" s="31" t="inlineStr">
        <is>
          <t>https://sales-agent-demo.render.com</t>
        </is>
      </c>
      <c r="S14" s="21" t="inlineStr">
        <is>
          <t>Cold start latency on cloud hosts and managing API key rate limits under peak load.</t>
        </is>
      </c>
      <c r="T14" s="21" t="inlineStr">
        <is>
          <t>Built a commercially viable, standalone AI agent SaaS product ready for customer pilots.</t>
        </is>
      </c>
    </row>
    <row r="15" ht="24" customHeight="1">
      <c r="A15" s="24" t="inlineStr">
        <is>
          <t>TOTAL ESTIMATED EFFORT (HOURS)</t>
        </is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35">
        <f>SUM(M5:M14)</f>
        <v/>
      </c>
      <c r="N15" s="35">
        <f>SUM(N5:N14)</f>
        <v/>
      </c>
      <c r="O15" s="25" t="n"/>
      <c r="P15" s="25" t="n"/>
      <c r="Q15" s="25" t="n"/>
      <c r="R15" s="25" t="n"/>
      <c r="S15" s="25" t="n"/>
      <c r="T15" s="25" t="n"/>
    </row>
  </sheetData>
  <autoFilter ref="A4:T14"/>
  <mergeCells count="1">
    <mergeCell ref="A15:L15"/>
  </mergeCells>
  <dataValidations count="2">
    <dataValidation sqref="K5:K14" showDropDown="0" showInputMessage="0" showErrorMessage="0" allowBlank="1" type="list">
      <formula1>"Not Started,In Progress,Completed,Blocked,Review"</formula1>
    </dataValidation>
    <dataValidation sqref="L5:L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5" customWidth="1" min="4" max="4"/>
    <col width="14" customWidth="1" min="5" max="5"/>
    <col width="14" customWidth="1" min="6" max="6"/>
    <col width="14" customWidth="1" min="7" max="7"/>
    <col width="30" customWidth="1" min="8" max="8"/>
    <col width="13" customWidth="1" min="9" max="9"/>
    <col width="24" customWidth="1" min="10" max="10"/>
    <col width="24" customWidth="1" min="11" max="11"/>
  </cols>
  <sheetData>
    <row r="1" ht="24" customHeight="1">
      <c r="A1" s="12" t="inlineStr">
        <is>
          <t>30-DAY DAILY STUDY &amp; EXECUTION AGENDA</t>
        </is>
      </c>
    </row>
    <row r="2" ht="18" customHeight="1">
      <c r="A2" s="2" t="inlineStr">
        <is>
          <t>Enforced 2–3 Hour Daily Protocol: 45m Concepts • 60m Coding Drills • 60m Project Building • 15m Review &amp; Documentation</t>
        </is>
      </c>
    </row>
    <row r="4" ht="28" customHeight="1">
      <c r="A4" s="13" t="inlineStr">
        <is>
          <t>Date</t>
        </is>
      </c>
      <c r="B4" s="13" t="inlineStr">
        <is>
          <t>Day #</t>
        </is>
      </c>
      <c r="C4" s="13" t="inlineStr">
        <is>
          <t>Learning Objective</t>
        </is>
      </c>
      <c r="D4" s="13" t="inlineStr">
        <is>
          <t>Planned Activities (Time-Blocked)</t>
        </is>
      </c>
      <c r="E4" s="13" t="inlineStr">
        <is>
          <t>Resource Links</t>
        </is>
      </c>
      <c r="F4" s="13" t="inlineStr">
        <is>
          <t>Planned Minutes</t>
        </is>
      </c>
      <c r="G4" s="13" t="inlineStr">
        <is>
          <t>Actual Minutes</t>
        </is>
      </c>
      <c r="H4" s="13" t="inlineStr">
        <is>
          <t>Deliverable</t>
        </is>
      </c>
      <c r="I4" s="13" t="inlineStr">
        <is>
          <t>Status</t>
        </is>
      </c>
      <c r="J4" s="13" t="inlineStr">
        <is>
          <t>Problems Encountered</t>
        </is>
      </c>
      <c r="K4" s="13" t="inlineStr">
        <is>
          <t>Next Action</t>
        </is>
      </c>
    </row>
    <row r="5" ht="42" customHeight="1">
      <c r="A5" s="14" t="inlineStr">
        <is>
          <t>2026-11-01</t>
        </is>
      </c>
      <c r="B5" s="14" t="inlineStr">
        <is>
          <t>Day 01</t>
        </is>
      </c>
      <c r="C5" s="16" t="inlineStr">
        <is>
          <t>Python OOP &amp; Type Hinting Discipline</t>
        </is>
      </c>
      <c r="D5" s="16" t="inlineStr">
        <is>
          <t>45m: Review Python 3.11 typing module.
60m: Code custom BaseModel with typing.
60m: Project setup &amp; repo architecture.
15m: Update notes and log difficulties.</t>
        </is>
      </c>
      <c r="E5" s="17" t="inlineStr">
        <is>
          <t>RES-017</t>
        </is>
      </c>
      <c r="F5" s="36" t="n">
        <v>180</v>
      </c>
      <c r="G5" s="36" t="n">
        <v>0</v>
      </c>
      <c r="H5" s="15" t="inlineStr">
        <is>
          <t>Git repo with poetry, pytest, typing test cases</t>
        </is>
      </c>
      <c r="I5" s="14" t="inlineStr">
        <is>
          <t>Not Started</t>
        </is>
      </c>
      <c r="J5" s="16" t="inlineStr"/>
      <c r="K5" s="16" t="inlineStr"/>
    </row>
    <row r="6" ht="42" customHeight="1">
      <c r="A6" s="19" t="inlineStr">
        <is>
          <t>2026-11-02</t>
        </is>
      </c>
      <c r="B6" s="19" t="inlineStr">
        <is>
          <t>Day 02</t>
        </is>
      </c>
      <c r="C6" s="21" t="inlineStr">
        <is>
          <t>AsyncIO &amp; Non-blocking Network Calls</t>
        </is>
      </c>
      <c r="D6" s="21" t="inlineStr">
        <is>
          <t>45m: Read AsyncIO event loop docs.
60m: Build async scraper fetching 10 mock pages.
60m: Project: Async CRM client mock.
15m: Reflection and time audit.</t>
        </is>
      </c>
      <c r="E6" s="22" t="inlineStr">
        <is>
          <t>RES-017, RES-022</t>
        </is>
      </c>
      <c r="F6" s="37" t="n">
        <v>180</v>
      </c>
      <c r="G6" s="37" t="n">
        <v>0</v>
      </c>
      <c r="H6" s="20" t="inlineStr">
        <is>
          <t>Working async worker script with concurrency benchmark</t>
        </is>
      </c>
      <c r="I6" s="19" t="inlineStr">
        <is>
          <t>Not Started</t>
        </is>
      </c>
      <c r="J6" s="21" t="inlineStr"/>
      <c r="K6" s="21" t="inlineStr"/>
    </row>
    <row r="7" ht="42" customHeight="1">
      <c r="A7" s="14" t="inlineStr">
        <is>
          <t>2026-11-03</t>
        </is>
      </c>
      <c r="B7" s="14" t="inlineStr">
        <is>
          <t>Day 03</t>
        </is>
      </c>
      <c r="C7" s="16" t="inlineStr">
        <is>
          <t>JSON Serialization &amp; Pydantic Validation</t>
        </is>
      </c>
      <c r="D7" s="16" t="inlineStr">
        <is>
          <t>45m: Study Pydantic V2 core concepts.
60m: Code nested data validators.
60m: Project: Lead profile schema validator.
15m: Review and document edge cases.</t>
        </is>
      </c>
      <c r="E7" s="17" t="inlineStr">
        <is>
          <t>RES-007, RES-017</t>
        </is>
      </c>
      <c r="F7" s="36" t="n">
        <v>180</v>
      </c>
      <c r="G7" s="36" t="n">
        <v>0</v>
      </c>
      <c r="H7" s="15" t="inlineStr">
        <is>
          <t>Pydantic LeadProfile class with phone/email validation</t>
        </is>
      </c>
      <c r="I7" s="14" t="inlineStr">
        <is>
          <t>Not Started</t>
        </is>
      </c>
      <c r="J7" s="16" t="inlineStr"/>
      <c r="K7" s="16" t="inlineStr"/>
    </row>
    <row r="8" ht="42" customHeight="1">
      <c r="A8" s="19" t="inlineStr">
        <is>
          <t>2026-11-04</t>
        </is>
      </c>
      <c r="B8" s="19" t="inlineStr">
        <is>
          <t>Day 04</t>
        </is>
      </c>
      <c r="C8" s="21" t="inlineStr">
        <is>
          <t>Linear Algebra: Vector Dot Products</t>
        </is>
      </c>
      <c r="D8" s="21" t="inlineStr">
        <is>
          <t>45m: Watch 3Blue1Brown Linear Algebra.
60m: Code vector dot product &amp; norm from scratch.
60m: Compute cosine similarity between 3 text vectors.
15m: Review notes on projections.</t>
        </is>
      </c>
      <c r="E8" s="22" t="inlineStr">
        <is>
          <t>RES-018</t>
        </is>
      </c>
      <c r="F8" s="37" t="n">
        <v>180</v>
      </c>
      <c r="G8" s="37" t="n">
        <v>0</v>
      </c>
      <c r="H8" s="20" t="inlineStr">
        <is>
          <t>Python vector math utility file with unit tests</t>
        </is>
      </c>
      <c r="I8" s="19" t="inlineStr">
        <is>
          <t>Not Started</t>
        </is>
      </c>
      <c r="J8" s="21" t="inlineStr"/>
      <c r="K8" s="21" t="inlineStr"/>
    </row>
    <row r="9" ht="42" customHeight="1">
      <c r="A9" s="14" t="inlineStr">
        <is>
          <t>2026-11-05</t>
        </is>
      </c>
      <c r="B9" s="14" t="inlineStr">
        <is>
          <t>Day 05</t>
        </is>
      </c>
      <c r="C9" s="16" t="inlineStr">
        <is>
          <t>Linear Algebra: Matrix Transformations</t>
        </is>
      </c>
      <c r="D9" s="16" t="inlineStr">
        <is>
          <t>45m: Study matrix multiply &amp; transformation geometry.
60m: Write matrix multiply function in pure Python.
60m: Benchmark vs NumPy array operations.
15m: Log lessons learned.</t>
        </is>
      </c>
      <c r="E9" s="17" t="inlineStr">
        <is>
          <t>RES-018</t>
        </is>
      </c>
      <c r="F9" s="36" t="n">
        <v>180</v>
      </c>
      <c r="G9" s="36" t="n">
        <v>0</v>
      </c>
      <c r="H9" s="15" t="inlineStr">
        <is>
          <t>Jupyter notebook visualizing 2D matrix shear &amp; rotate</t>
        </is>
      </c>
      <c r="I9" s="14" t="inlineStr">
        <is>
          <t>Not Started</t>
        </is>
      </c>
      <c r="J9" s="16" t="inlineStr"/>
      <c r="K9" s="16" t="inlineStr"/>
    </row>
    <row r="10" ht="42" customHeight="1">
      <c r="A10" s="19" t="inlineStr">
        <is>
          <t>2026-11-06</t>
        </is>
      </c>
      <c r="B10" s="19" t="inlineStr">
        <is>
          <t>Day 06</t>
        </is>
      </c>
      <c r="C10" s="21" t="inlineStr">
        <is>
          <t>Probability: Bayes' Theorem in Sales</t>
        </is>
      </c>
      <c r="D10" s="21" t="inlineStr">
        <is>
          <t>45m: Study conditional probability &amp; Bayes rule.
60m: Write Bayes calculation function.
60m: Project: Model lead conversion odds based on source.
15m: Record quiz questions.</t>
        </is>
      </c>
      <c r="E10" s="22" t="inlineStr">
        <is>
          <t>RES-001</t>
        </is>
      </c>
      <c r="F10" s="37" t="n">
        <v>180</v>
      </c>
      <c r="G10" s="37" t="n">
        <v>0</v>
      </c>
      <c r="H10" s="20" t="inlineStr">
        <is>
          <t>Probabilistic lead scoring function with test cases</t>
        </is>
      </c>
      <c r="I10" s="19" t="inlineStr">
        <is>
          <t>Not Started</t>
        </is>
      </c>
      <c r="J10" s="21" t="inlineStr"/>
      <c r="K10" s="21" t="inlineStr"/>
    </row>
    <row r="11" ht="42" customHeight="1">
      <c r="A11" s="14" t="inlineStr">
        <is>
          <t>2026-11-07</t>
        </is>
      </c>
      <c r="B11" s="14" t="inlineStr">
        <is>
          <t>Day 07</t>
        </is>
      </c>
      <c r="C11" s="16" t="inlineStr">
        <is>
          <t>Weekly Review 1 &amp; Rest / Catch-up</t>
        </is>
      </c>
      <c r="D11" s="16" t="inlineStr">
        <is>
          <t>60m: Review Days 1-6 concepts.
60m: Refactor code and commit all repos.
30m: Fill out Weekly Review Worksheet.</t>
        </is>
      </c>
      <c r="E11" s="17" t="inlineStr">
        <is>
          <t>Weekly Review Sheet</t>
        </is>
      </c>
      <c r="F11" s="36" t="n">
        <v>150</v>
      </c>
      <c r="G11" s="36" t="n">
        <v>0</v>
      </c>
      <c r="H11" s="15" t="inlineStr">
        <is>
          <t>Completed Weekly Review 1 &amp; clean GitHub commits</t>
        </is>
      </c>
      <c r="I11" s="14" t="inlineStr">
        <is>
          <t>Not Started</t>
        </is>
      </c>
      <c r="J11" s="16" t="inlineStr"/>
      <c r="K11" s="16" t="inlineStr"/>
    </row>
    <row r="12" ht="42" customHeight="1">
      <c r="A12" s="19" t="inlineStr">
        <is>
          <t>2026-11-08</t>
        </is>
      </c>
      <c r="B12" s="19" t="inlineStr">
        <is>
          <t>Day 08</t>
        </is>
      </c>
      <c r="C12" s="21" t="inlineStr">
        <is>
          <t>Calculus: Derivatives &amp; Loss Functions</t>
        </is>
      </c>
      <c r="D12" s="21" t="inlineStr">
        <is>
          <t>45m: Derivatives, gradients, and partial derivatives.
60m: Code manual derivative calculation.
60m: Implement Mean Squared Error (MSE) loss function.
15m: Summary.</t>
        </is>
      </c>
      <c r="E12" s="22" t="inlineStr">
        <is>
          <t>RES-001</t>
        </is>
      </c>
      <c r="F12" s="37" t="n">
        <v>180</v>
      </c>
      <c r="G12" s="37" t="n">
        <v>0</v>
      </c>
      <c r="H12" s="20" t="inlineStr">
        <is>
          <t>Python notebook calculating analytic &amp; numerical gradients</t>
        </is>
      </c>
      <c r="I12" s="19" t="inlineStr">
        <is>
          <t>Not Started</t>
        </is>
      </c>
      <c r="J12" s="21" t="inlineStr"/>
      <c r="K12" s="21" t="inlineStr"/>
    </row>
    <row r="13" ht="42" customHeight="1">
      <c r="A13" s="14" t="inlineStr">
        <is>
          <t>2026-11-09</t>
        </is>
      </c>
      <c r="B13" s="14" t="inlineStr">
        <is>
          <t>Day 09</t>
        </is>
      </c>
      <c r="C13" s="16" t="inlineStr">
        <is>
          <t>Optimization: Gradient Descent from Scratch</t>
        </is>
      </c>
      <c r="D13" s="16" t="inlineStr">
        <is>
          <t>45m: Study batch vs stochastic gradient descent.
60m: Write gradient descent loop finding minimum.
60m: Plot descent trajectory across learning rates.
15m: Document overshoot risks.</t>
        </is>
      </c>
      <c r="E13" s="17" t="inlineStr">
        <is>
          <t>RES-001</t>
        </is>
      </c>
      <c r="F13" s="36" t="n">
        <v>180</v>
      </c>
      <c r="G13" s="36" t="n">
        <v>0</v>
      </c>
      <c r="H13" s="15" t="inlineStr">
        <is>
          <t>Working 2D gradient descent optimizer visualization</t>
        </is>
      </c>
      <c r="I13" s="14" t="inlineStr">
        <is>
          <t>Not Started</t>
        </is>
      </c>
      <c r="J13" s="16" t="inlineStr"/>
      <c r="K13" s="16" t="inlineStr"/>
    </row>
    <row r="14" ht="42" customHeight="1">
      <c r="A14" s="19" t="inlineStr">
        <is>
          <t>2026-11-10</t>
        </is>
      </c>
      <c r="B14" s="19" t="inlineStr">
        <is>
          <t>Day 10</t>
        </is>
      </c>
      <c r="C14" s="21" t="inlineStr">
        <is>
          <t>NumPy Vectorization &amp; Broadcasting</t>
        </is>
      </c>
      <c r="D14" s="21" t="inlineStr">
        <is>
          <t>45m: Study NumPy memory layout and broadcasting rules.
60m: Solve 15 array manipulation exercises.
60m: Vectorize sales transaction table processing.
15m: Log performance stats.</t>
        </is>
      </c>
      <c r="E14" s="22" t="inlineStr">
        <is>
          <t>RES-018</t>
        </is>
      </c>
      <c r="F14" s="37" t="n">
        <v>180</v>
      </c>
      <c r="G14" s="37" t="n">
        <v>0</v>
      </c>
      <c r="H14" s="20" t="inlineStr">
        <is>
          <t>Benchmarked NumPy vectorized functions vs Python loops</t>
        </is>
      </c>
      <c r="I14" s="19" t="inlineStr">
        <is>
          <t>Not Started</t>
        </is>
      </c>
      <c r="J14" s="21" t="inlineStr"/>
      <c r="K14" s="21" t="inlineStr"/>
    </row>
    <row r="15" ht="42" customHeight="1">
      <c r="A15" s="14" t="inlineStr">
        <is>
          <t>2026-11-11</t>
        </is>
      </c>
      <c r="B15" s="14" t="inlineStr">
        <is>
          <t>Day 11</t>
        </is>
      </c>
      <c r="C15" s="16" t="inlineStr">
        <is>
          <t>Pandas DataFrames: Filtering &amp; Aggregation</t>
        </is>
      </c>
      <c r="D15" s="16" t="inlineStr">
        <is>
          <t>45m: Read Pandas user guide on indexing and groupby.
60m: Perform complex queries on 10k sales records.
60m: Calculate monthly sales velocity by segment.
15m: Note syntax gotchas.</t>
        </is>
      </c>
      <c r="E15" s="17" t="inlineStr">
        <is>
          <t>RES-019</t>
        </is>
      </c>
      <c r="F15" s="36" t="n">
        <v>180</v>
      </c>
      <c r="G15" s="36" t="n">
        <v>0</v>
      </c>
      <c r="H15" s="15" t="inlineStr">
        <is>
          <t>Pandas data wrangling script producing cohort summary</t>
        </is>
      </c>
      <c r="I15" s="14" t="inlineStr">
        <is>
          <t>Not Started</t>
        </is>
      </c>
      <c r="J15" s="16" t="inlineStr"/>
      <c r="K15" s="16" t="inlineStr"/>
    </row>
    <row r="16" ht="42" customHeight="1">
      <c r="A16" s="19" t="inlineStr">
        <is>
          <t>2026-11-12</t>
        </is>
      </c>
      <c r="B16" s="19" t="inlineStr">
        <is>
          <t>Day 12</t>
        </is>
      </c>
      <c r="C16" s="21" t="inlineStr">
        <is>
          <t>Exploratory Data Analysis: Outliers &amp; Missing Values</t>
        </is>
      </c>
      <c r="D16" s="21" t="inlineStr">
        <is>
          <t>45m: Study data hygiene and imputation strategies.
60m: Write automated missing data detection script.
60m: Impute median values and flag anomalies.
15m: Document data leakage traps.</t>
        </is>
      </c>
      <c r="E16" s="22" t="inlineStr">
        <is>
          <t>RES-002, RES-019</t>
        </is>
      </c>
      <c r="F16" s="37" t="n">
        <v>180</v>
      </c>
      <c r="G16" s="37" t="n">
        <v>0</v>
      </c>
      <c r="H16" s="20" t="inlineStr">
        <is>
          <t>Reusable data cleaning function with logging</t>
        </is>
      </c>
      <c r="I16" s="19" t="inlineStr">
        <is>
          <t>Not Started</t>
        </is>
      </c>
      <c r="J16" s="21" t="inlineStr"/>
      <c r="K16" s="21" t="inlineStr"/>
    </row>
    <row r="17" ht="42" customHeight="1">
      <c r="A17" s="14" t="inlineStr">
        <is>
          <t>2026-11-13</t>
        </is>
      </c>
      <c r="B17" s="14" t="inlineStr">
        <is>
          <t>Day 13</t>
        </is>
      </c>
      <c r="C17" s="16" t="inlineStr">
        <is>
          <t>Data Visualization with Matplotlib &amp; Seaborn</t>
        </is>
      </c>
      <c r="D17" s="16" t="inlineStr">
        <is>
          <t>45m: Study statistical chart types and design rules.
60m: Code correlation heatmap and boxplots.
60m: Project 1: Plot sales deal size distributions.
15m: Review visual clarity.</t>
        </is>
      </c>
      <c r="E17" s="17" t="inlineStr">
        <is>
          <t>RES-019</t>
        </is>
      </c>
      <c r="F17" s="36" t="n">
        <v>180</v>
      </c>
      <c r="G17" s="36" t="n">
        <v>0</v>
      </c>
      <c r="H17" s="15" t="inlineStr">
        <is>
          <t>Clean 4-panel sales exploratory visualization figure</t>
        </is>
      </c>
      <c r="I17" s="14" t="inlineStr">
        <is>
          <t>Not Started</t>
        </is>
      </c>
      <c r="J17" s="16" t="inlineStr"/>
      <c r="K17" s="16" t="inlineStr"/>
    </row>
    <row r="18" ht="42" customHeight="1">
      <c r="A18" s="19" t="inlineStr">
        <is>
          <t>2026-11-14</t>
        </is>
      </c>
      <c r="B18" s="19" t="inlineStr">
        <is>
          <t>Day 14</t>
        </is>
      </c>
      <c r="C18" s="21" t="inlineStr">
        <is>
          <t>Weekly Review 2 &amp; Project 1 Sprint</t>
        </is>
      </c>
      <c r="D18" s="21" t="inlineStr">
        <is>
          <t>60m: Code review for Project 1.
60m: Finalize Project 1 analysis markdown report.
30m: Fill out Weekly Review Worksheet.</t>
        </is>
      </c>
      <c r="E18" s="22" t="inlineStr">
        <is>
          <t>Weekly Review Sheet</t>
        </is>
      </c>
      <c r="F18" s="37" t="n">
        <v>150</v>
      </c>
      <c r="G18" s="37" t="n">
        <v>0</v>
      </c>
      <c r="H18" s="20" t="inlineStr">
        <is>
          <t>Completed Weekly Review 2 &amp; Project 1 draft report</t>
        </is>
      </c>
      <c r="I18" s="19" t="inlineStr">
        <is>
          <t>Not Started</t>
        </is>
      </c>
      <c r="J18" s="21" t="inlineStr"/>
      <c r="K18" s="21" t="inlineStr"/>
    </row>
    <row r="19" ht="42" customHeight="1">
      <c r="A19" s="14" t="inlineStr">
        <is>
          <t>2026-11-15</t>
        </is>
      </c>
      <c r="B19" s="14" t="inlineStr">
        <is>
          <t>Day 15</t>
        </is>
      </c>
      <c r="C19" s="16" t="inlineStr">
        <is>
          <t>Supervised Learning: Linear Regression Math</t>
        </is>
      </c>
      <c r="D19" s="16" t="inlineStr">
        <is>
          <t>45m: Study OLS equations, assumptions, and residuals.
60m: Code simple linear regression from scratch.
60m: Compare scratch model against Scikit-Learn.
15m: Check R^2 and MSE metrics.</t>
        </is>
      </c>
      <c r="E19" s="17" t="inlineStr">
        <is>
          <t>RES-016</t>
        </is>
      </c>
      <c r="F19" s="36" t="n">
        <v>180</v>
      </c>
      <c r="G19" s="36" t="n">
        <v>0</v>
      </c>
      <c r="H19" s="15" t="inlineStr">
        <is>
          <t>Scratch linear regression implementation notebook</t>
        </is>
      </c>
      <c r="I19" s="14" t="inlineStr">
        <is>
          <t>Not Started</t>
        </is>
      </c>
      <c r="J19" s="16" t="inlineStr"/>
      <c r="K19" s="16" t="inlineStr"/>
    </row>
    <row r="20" ht="42" customHeight="1">
      <c r="A20" s="19" t="inlineStr">
        <is>
          <t>2026-11-16</t>
        </is>
      </c>
      <c r="B20" s="19" t="inlineStr">
        <is>
          <t>Day 16</t>
        </is>
      </c>
      <c r="C20" s="21" t="inlineStr">
        <is>
          <t>Logistic Regression &amp; Sigmoid Activation</t>
        </is>
      </c>
      <c r="D20" s="21" t="inlineStr">
        <is>
          <t>45m: Study log-odds, sigmoid curve, and binary cross-entropy.
60m: Code sigmoid and log-loss function in Python.
60m: Train Scikit-Learn LogisticRegression on lead data.
15m: Log weights.</t>
        </is>
      </c>
      <c r="E20" s="22" t="inlineStr">
        <is>
          <t>RES-016</t>
        </is>
      </c>
      <c r="F20" s="37" t="n">
        <v>180</v>
      </c>
      <c r="G20" s="37" t="n">
        <v>0</v>
      </c>
      <c r="H20" s="20" t="inlineStr">
        <is>
          <t>Trained binary classifier with probability outputs</t>
        </is>
      </c>
      <c r="I20" s="19" t="inlineStr">
        <is>
          <t>Not Started</t>
        </is>
      </c>
      <c r="J20" s="21" t="inlineStr"/>
      <c r="K20" s="21" t="inlineStr"/>
    </row>
    <row r="21" ht="42" customHeight="1">
      <c r="A21" s="14" t="inlineStr">
        <is>
          <t>2026-11-17</t>
        </is>
      </c>
      <c r="B21" s="14" t="inlineStr">
        <is>
          <t>Day 17</t>
        </is>
      </c>
      <c r="C21" s="16" t="inlineStr">
        <is>
          <t>Evaluation Metrics: Precision, Recall &amp; ROC-AUC</t>
        </is>
      </c>
      <c r="D21" s="16" t="inlineStr">
        <is>
          <t>45m: Confusion matrix, precision, recall, F1, and AUC.
60m: Write custom confusion matrix calculator.
60m: Plot Precision-Recall curve and choose cutoff.
15m: Reflection.</t>
        </is>
      </c>
      <c r="E21" s="17" t="inlineStr">
        <is>
          <t>RES-016</t>
        </is>
      </c>
      <c r="F21" s="36" t="n">
        <v>180</v>
      </c>
      <c r="G21" s="36" t="n">
        <v>0</v>
      </c>
      <c r="H21" s="15" t="inlineStr">
        <is>
          <t>Precision-recall analysis script with cost function</t>
        </is>
      </c>
      <c r="I21" s="14" t="inlineStr">
        <is>
          <t>Not Started</t>
        </is>
      </c>
      <c r="J21" s="16" t="inlineStr"/>
      <c r="K21" s="16" t="inlineStr"/>
    </row>
    <row r="22" ht="42" customHeight="1">
      <c r="A22" s="19" t="inlineStr">
        <is>
          <t>2026-11-18</t>
        </is>
      </c>
      <c r="B22" s="19" t="inlineStr">
        <is>
          <t>Day 18</t>
        </is>
      </c>
      <c r="C22" s="21" t="inlineStr">
        <is>
          <t>Decision Trees &amp; Gini Impurity</t>
        </is>
      </c>
      <c r="D22" s="21" t="inlineStr">
        <is>
          <t>45m: Study decision tree splits and impurity formulas.
60m: Calculate Gini impurity by hand for a split.
60m: Train DecisionTreeClassifier and export visual tree.
15m: Document depth tuning.</t>
        </is>
      </c>
      <c r="E22" s="22" t="inlineStr">
        <is>
          <t>RES-016</t>
        </is>
      </c>
      <c r="F22" s="37" t="n">
        <v>180</v>
      </c>
      <c r="G22" s="37" t="n">
        <v>0</v>
      </c>
      <c r="H22" s="20" t="inlineStr">
        <is>
          <t>Visual decision tree graphic and feature importance table</t>
        </is>
      </c>
      <c r="I22" s="19" t="inlineStr">
        <is>
          <t>Not Started</t>
        </is>
      </c>
      <c r="J22" s="21" t="inlineStr"/>
      <c r="K22" s="21" t="inlineStr"/>
    </row>
    <row r="23" ht="42" customHeight="1">
      <c r="A23" s="14" t="inlineStr">
        <is>
          <t>2026-11-19</t>
        </is>
      </c>
      <c r="B23" s="14" t="inlineStr">
        <is>
          <t>Day 19</t>
        </is>
      </c>
      <c r="C23" s="16" t="inlineStr">
        <is>
          <t>Random Forests &amp; Bagging Ensembles</t>
        </is>
      </c>
      <c r="D23" s="16" t="inlineStr">
        <is>
          <t>45m: Study ensemble theory, bootstrap aggregating, OOB score.
60m: Train RandomForest on customer churn dataset.
60m: Extract and interpret top-10 predictive features.
15m: Log findings.</t>
        </is>
      </c>
      <c r="E23" s="17" t="inlineStr">
        <is>
          <t>RES-016</t>
        </is>
      </c>
      <c r="F23" s="36" t="n">
        <v>180</v>
      </c>
      <c r="G23" s="36" t="n">
        <v>0</v>
      </c>
      <c r="H23" s="15" t="inlineStr">
        <is>
          <t>Random Forest model with cross-validation report</t>
        </is>
      </c>
      <c r="I23" s="14" t="inlineStr">
        <is>
          <t>Not Started</t>
        </is>
      </c>
      <c r="J23" s="16" t="inlineStr"/>
      <c r="K23" s="16" t="inlineStr"/>
    </row>
    <row r="24" ht="42" customHeight="1">
      <c r="A24" s="19" t="inlineStr">
        <is>
          <t>2026-11-20</t>
        </is>
      </c>
      <c r="B24" s="19" t="inlineStr">
        <is>
          <t>Day 20</t>
        </is>
      </c>
      <c r="C24" s="21" t="inlineStr">
        <is>
          <t>Gradient Boosting with XGBoost</t>
        </is>
      </c>
      <c r="D24" s="21" t="inlineStr">
        <is>
          <t>45m: Study boosting vs bagging and residual fitting.
60m: Install and train XGBClassifier on sales data.
60m: Project 2: Customer Purchase Prediction model.
15m: Log AUC gains.</t>
        </is>
      </c>
      <c r="E24" s="22" t="inlineStr">
        <is>
          <t>RES-016</t>
        </is>
      </c>
      <c r="F24" s="37" t="n">
        <v>180</v>
      </c>
      <c r="G24" s="37" t="n">
        <v>0</v>
      </c>
      <c r="H24" s="20" t="inlineStr">
        <is>
          <t>XGBoost baseline classifier achieving ROC-AUC &gt; 0.82</t>
        </is>
      </c>
      <c r="I24" s="19" t="inlineStr">
        <is>
          <t>Not Started</t>
        </is>
      </c>
      <c r="J24" s="21" t="inlineStr"/>
      <c r="K24" s="21" t="inlineStr"/>
    </row>
    <row r="25" ht="42" customHeight="1">
      <c r="A25" s="14" t="inlineStr">
        <is>
          <t>2026-11-21</t>
        </is>
      </c>
      <c r="B25" s="14" t="inlineStr">
        <is>
          <t>Day 21</t>
        </is>
      </c>
      <c r="C25" s="16" t="inlineStr">
        <is>
          <t>Weekly Review 3 &amp; Hyperparameter Tuning</t>
        </is>
      </c>
      <c r="D25" s="16" t="inlineStr">
        <is>
          <t>60m: RandomizedSearchCV hyperparameter search.
60m: Validate model on out-of-time test split.
30m: Fill out Weekly Review Worksheet.</t>
        </is>
      </c>
      <c r="E25" s="17" t="inlineStr">
        <is>
          <t>Weekly Review Sheet</t>
        </is>
      </c>
      <c r="F25" s="36" t="n">
        <v>150</v>
      </c>
      <c r="G25" s="36" t="n">
        <v>0</v>
      </c>
      <c r="H25" s="15" t="inlineStr">
        <is>
          <t>Completed Weekly Review 3 &amp; tuned XGBoost model</t>
        </is>
      </c>
      <c r="I25" s="14" t="inlineStr">
        <is>
          <t>Not Started</t>
        </is>
      </c>
      <c r="J25" s="16" t="inlineStr"/>
      <c r="K25" s="16" t="inlineStr"/>
    </row>
    <row r="26" ht="42" customHeight="1">
      <c r="A26" s="19" t="inlineStr">
        <is>
          <t>2026-11-22</t>
        </is>
      </c>
      <c r="B26" s="19" t="inlineStr">
        <is>
          <t>Day 22</t>
        </is>
      </c>
      <c r="C26" s="21" t="inlineStr">
        <is>
          <t>Unsupervised Learning: K-Means Clustering</t>
        </is>
      </c>
      <c r="D26" s="21" t="inlineStr">
        <is>
          <t>45m: Study K-Means centroid updates and elbow method.
60m: Code K-Means from scratch in pure Python.
60m: Cluster customer accounts by purchase frequency.
15m: Log centroid stats.</t>
        </is>
      </c>
      <c r="E26" s="22" t="inlineStr">
        <is>
          <t>RES-016</t>
        </is>
      </c>
      <c r="F26" s="37" t="n">
        <v>180</v>
      </c>
      <c r="G26" s="37" t="n">
        <v>0</v>
      </c>
      <c r="H26" s="20" t="inlineStr">
        <is>
          <t>Customer clustering notebook with 4 distinct clusters</t>
        </is>
      </c>
      <c r="I26" s="19" t="inlineStr">
        <is>
          <t>Not Started</t>
        </is>
      </c>
      <c r="J26" s="21" t="inlineStr"/>
      <c r="K26" s="21" t="inlineStr"/>
    </row>
    <row r="27" ht="42" customHeight="1">
      <c r="A27" s="14" t="inlineStr">
        <is>
          <t>2026-11-23</t>
        </is>
      </c>
      <c r="B27" s="14" t="inlineStr">
        <is>
          <t>Day 23</t>
        </is>
      </c>
      <c r="C27" s="16" t="inlineStr">
        <is>
          <t>Dimensionality Reduction: PCA</t>
        </is>
      </c>
      <c r="D27" s="16" t="inlineStr">
        <is>
          <t>45m: Study covariance matrix, eigenvalues, and variance.
60m: Run PCA to reduce 20 CRM features to 2 components.
60m: Plot 2D scatter plot colored by customer tier.
15m: Review math.</t>
        </is>
      </c>
      <c r="E27" s="17" t="inlineStr">
        <is>
          <t>RES-016</t>
        </is>
      </c>
      <c r="F27" s="36" t="n">
        <v>180</v>
      </c>
      <c r="G27" s="36" t="n">
        <v>0</v>
      </c>
      <c r="H27" s="15" t="inlineStr">
        <is>
          <t>PCA 2D projection scatter plot with explained variance</t>
        </is>
      </c>
      <c r="I27" s="14" t="inlineStr">
        <is>
          <t>Not Started</t>
        </is>
      </c>
      <c r="J27" s="16" t="inlineStr"/>
      <c r="K27" s="16" t="inlineStr"/>
    </row>
    <row r="28" ht="42" customHeight="1">
      <c r="A28" s="19" t="inlineStr">
        <is>
          <t>2026-11-24</t>
        </is>
      </c>
      <c r="B28" s="19" t="inlineStr">
        <is>
          <t>Day 24</t>
        </is>
      </c>
      <c r="C28" s="21" t="inlineStr">
        <is>
          <t>Scikit-Learn Pipelines &amp; Model Export</t>
        </is>
      </c>
      <c r="D28" s="21" t="inlineStr">
        <is>
          <t>45m: Study ColumnTransformer and Pipeline architecture.
60m: Build end-to-end preprocessing + model pipeline.
60m: Save pipeline with joblib and test inference call.
15m: Log latency.</t>
        </is>
      </c>
      <c r="E28" s="22" t="inlineStr">
        <is>
          <t>RES-016</t>
        </is>
      </c>
      <c r="F28" s="37" t="n">
        <v>180</v>
      </c>
      <c r="G28" s="37" t="n">
        <v>0</v>
      </c>
      <c r="H28" s="20" t="inlineStr">
        <is>
          <t>Exported `lead_scoring_pipeline.joblib` with inference test</t>
        </is>
      </c>
      <c r="I28" s="19" t="inlineStr">
        <is>
          <t>Not Started</t>
        </is>
      </c>
      <c r="J28" s="21" t="inlineStr"/>
      <c r="K28" s="21" t="inlineStr"/>
    </row>
    <row r="29" ht="42" customHeight="1">
      <c r="A29" s="14" t="inlineStr">
        <is>
          <t>2026-11-25</t>
        </is>
      </c>
      <c r="B29" s="14" t="inlineStr">
        <is>
          <t>Day 25</t>
        </is>
      </c>
      <c r="C29" s="16" t="inlineStr">
        <is>
          <t>Project 2 Finalization: Customer Purchase Predictor</t>
        </is>
      </c>
      <c r="D29" s="16" t="inlineStr">
        <is>
          <t>45m: Review model evaluation metrics against acceptance criteria.
60m: Write comprehensive README and usage script.
60m: Push code to GitHub repository.
15m: Self-assessment.</t>
        </is>
      </c>
      <c r="E29" s="17" t="inlineStr">
        <is>
          <t>RES-016</t>
        </is>
      </c>
      <c r="F29" s="36" t="n">
        <v>180</v>
      </c>
      <c r="G29" s="36" t="n">
        <v>0</v>
      </c>
      <c r="H29" s="15" t="inlineStr">
        <is>
          <t>GitHub repo for Project 2 with automated evaluation</t>
        </is>
      </c>
      <c r="I29" s="14" t="inlineStr">
        <is>
          <t>Not Started</t>
        </is>
      </c>
      <c r="J29" s="16" t="inlineStr"/>
      <c r="K29" s="16" t="inlineStr"/>
    </row>
    <row r="30" ht="42" customHeight="1">
      <c r="A30" s="19" t="inlineStr">
        <is>
          <t>2026-11-26</t>
        </is>
      </c>
      <c r="B30" s="19" t="inlineStr">
        <is>
          <t>Day 26</t>
        </is>
      </c>
      <c r="C30" s="21" t="inlineStr">
        <is>
          <t>PyTorch Foundations: Tensors &amp; Autograd</t>
        </is>
      </c>
      <c r="D30" s="21" t="inlineStr">
        <is>
          <t>45m: Study PyTorch tensor memory &amp; autograd graph.
60m: Write custom autograd function with backward pass.
60m: Train a 1-neuron model using autograd.
15m: Review tensor shapes.</t>
        </is>
      </c>
      <c r="E30" s="22" t="inlineStr">
        <is>
          <t>RES-014</t>
        </is>
      </c>
      <c r="F30" s="37" t="n">
        <v>180</v>
      </c>
      <c r="G30" s="37" t="n">
        <v>0</v>
      </c>
      <c r="H30" s="20" t="inlineStr">
        <is>
          <t>PyTorch tensor drill notebook with autograd tests</t>
        </is>
      </c>
      <c r="I30" s="19" t="inlineStr">
        <is>
          <t>Not Started</t>
        </is>
      </c>
      <c r="J30" s="21" t="inlineStr"/>
      <c r="K30" s="21" t="inlineStr"/>
    </row>
    <row r="31" ht="42" customHeight="1">
      <c r="A31" s="14" t="inlineStr">
        <is>
          <t>2026-11-27</t>
        </is>
      </c>
      <c r="B31" s="14" t="inlineStr">
        <is>
          <t>Day 27</t>
        </is>
      </c>
      <c r="C31" s="16" t="inlineStr">
        <is>
          <t>PyTorch Neural Networks: nn.Module &amp; Layers</t>
        </is>
      </c>
      <c r="D31" s="16" t="inlineStr">
        <is>
          <t>45m: Study nn.Linear, ReLU, and forward() method.
60m: Build 3-layer MLP classifying synthetic customer data.
60m: Write full training loop with loss logging.
15m: Plot training curve.</t>
        </is>
      </c>
      <c r="E31" s="17" t="inlineStr">
        <is>
          <t>RES-014</t>
        </is>
      </c>
      <c r="F31" s="36" t="n">
        <v>180</v>
      </c>
      <c r="G31" s="36" t="n">
        <v>0</v>
      </c>
      <c r="H31" s="15" t="inlineStr">
        <is>
          <t>PyTorch MLP model script training cleanly without NaNs</t>
        </is>
      </c>
      <c r="I31" s="14" t="inlineStr">
        <is>
          <t>Not Started</t>
        </is>
      </c>
      <c r="J31" s="16" t="inlineStr"/>
      <c r="K31" s="16" t="inlineStr"/>
    </row>
    <row r="32" ht="42" customHeight="1">
      <c r="A32" s="19" t="inlineStr">
        <is>
          <t>2026-11-28</t>
        </is>
      </c>
      <c r="B32" s="19" t="inlineStr">
        <is>
          <t>Day 28</t>
        </is>
      </c>
      <c r="C32" s="21" t="inlineStr">
        <is>
          <t>PyTorch Dataset &amp; DataLoader Pipelines</t>
        </is>
      </c>
      <c r="D32" s="21" t="inlineStr">
        <is>
          <t>45m: Study custom Dataset indexing and batching mechanics.
60m: Code CSVDataset streaming CRM text &amp; metadata.
60m: Integrate DataLoader with batch_size=32.
15m: Check memory usage.</t>
        </is>
      </c>
      <c r="E32" s="22" t="inlineStr">
        <is>
          <t>RES-014</t>
        </is>
      </c>
      <c r="F32" s="37" t="n">
        <v>180</v>
      </c>
      <c r="G32" s="37" t="n">
        <v>0</v>
      </c>
      <c r="H32" s="20" t="inlineStr">
        <is>
          <t>Custom PyTorch Dataset class with unit test</t>
        </is>
      </c>
      <c r="I32" s="19" t="inlineStr">
        <is>
          <t>Not Started</t>
        </is>
      </c>
      <c r="J32" s="21" t="inlineStr"/>
      <c r="K32" s="21" t="inlineStr"/>
    </row>
    <row r="33" ht="42" customHeight="1">
      <c r="A33" s="14" t="inlineStr">
        <is>
          <t>2026-11-29</t>
        </is>
      </c>
      <c r="B33" s="14" t="inlineStr">
        <is>
          <t>Day 29</t>
        </is>
      </c>
      <c r="C33" s="16" t="inlineStr">
        <is>
          <t>Comprehensive Month 1 Self-Assessment</t>
        </is>
      </c>
      <c r="D33" s="16" t="inlineStr">
        <is>
          <t>60m: Complete written closed-book recall exam on Phase 1 &amp; 2.
60m: Live coding test: Implement Logistic Regression in 45m.
45m: Grade results honestly against rubric.
15m: Record gaps.</t>
        </is>
      </c>
      <c r="E33" s="17" t="inlineStr">
        <is>
          <t>Self-Assessment Rubric</t>
        </is>
      </c>
      <c r="F33" s="36" t="n">
        <v>180</v>
      </c>
      <c r="G33" s="36" t="n">
        <v>0</v>
      </c>
      <c r="H33" s="15" t="inlineStr">
        <is>
          <t>Completed Month 1 self-assessment scorecard</t>
        </is>
      </c>
      <c r="I33" s="14" t="inlineStr">
        <is>
          <t>Not Started</t>
        </is>
      </c>
      <c r="J33" s="16" t="inlineStr"/>
      <c r="K33" s="16" t="inlineStr"/>
    </row>
    <row r="34" ht="42" customHeight="1">
      <c r="A34" s="19" t="inlineStr">
        <is>
          <t>2026-11-30</t>
        </is>
      </c>
      <c r="B34" s="19" t="inlineStr">
        <is>
          <t>Day 30</t>
        </is>
      </c>
      <c r="C34" s="21" t="inlineStr">
        <is>
          <t>Month 1 Retrospective &amp; Phase 3 Transition Plan</t>
        </is>
      </c>
      <c r="D34" s="21" t="inlineStr">
        <is>
          <t>60m: Audit total hours logged vs 75h target.
60m: Refactor codebases and organize notes.
45m: Finalize Phase 3 Deep Learning study schedule.
15m: Month 1 completion sign-off.</t>
        </is>
      </c>
      <c r="E34" s="22" t="inlineStr">
        <is>
          <t>Dashboard Sheet</t>
        </is>
      </c>
      <c r="F34" s="37" t="n">
        <v>180</v>
      </c>
      <c r="G34" s="37" t="n">
        <v>0</v>
      </c>
      <c r="H34" s="20" t="inlineStr">
        <is>
          <t>Month 1 retrospective document &amp; Phase 3 roadmap</t>
        </is>
      </c>
      <c r="I34" s="19" t="inlineStr">
        <is>
          <t>Not Started</t>
        </is>
      </c>
      <c r="J34" s="21" t="inlineStr"/>
      <c r="K34" s="21" t="inlineStr"/>
    </row>
    <row r="35" ht="24" customHeight="1">
      <c r="A35" s="24" t="inlineStr">
        <is>
          <t>TOTAL PLANNED MINUTES (30 DAYS)</t>
        </is>
      </c>
      <c r="B35" s="25" t="n"/>
      <c r="C35" s="25" t="n"/>
      <c r="D35" s="25" t="n"/>
      <c r="E35" s="25" t="n"/>
      <c r="F35" s="26">
        <f>SUM(F5:F34)</f>
        <v/>
      </c>
      <c r="G35" s="26">
        <f>SUM(G5:G34)</f>
        <v/>
      </c>
      <c r="H35" s="25" t="n"/>
      <c r="I35" s="25" t="n"/>
      <c r="J35" s="25" t="n"/>
      <c r="K35" s="25" t="n"/>
    </row>
  </sheetData>
  <autoFilter ref="A4:K34"/>
  <mergeCells count="1">
    <mergeCell ref="A35:E35"/>
  </mergeCells>
  <dataValidations count="1">
    <dataValidation sqref="I5:I34" showDropDown="0" showInputMessage="0" showErrorMessage="0" allowBlank="1" type="list">
      <formula1>"Not Started,In Progress,Completed,Missed"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4" customWidth="1" min="6" max="6"/>
    <col width="25" customWidth="1" min="7" max="7"/>
    <col width="25" customWidth="1" min="8" max="8"/>
    <col width="16" customWidth="1" min="9" max="9"/>
    <col width="25" customWidth="1" min="10" max="10"/>
    <col width="22" customWidth="1" min="11" max="11"/>
    <col width="24" customWidth="1" min="12" max="12"/>
    <col width="24" customWidth="1" min="13" max="13"/>
    <col width="25" customWidth="1" min="14" max="14"/>
    <col width="25" customWidth="1" min="15" max="15"/>
    <col width="26" customWidth="1" min="16" max="16"/>
    <col width="15" customWidth="1" min="17" max="17"/>
  </cols>
  <sheetData>
    <row r="1" ht="24" customHeight="1">
      <c r="A1" s="12" t="inlineStr">
        <is>
          <t>WEEKLY LEARNING RETROSPECTIVE &amp; GAP ANALYSIS</t>
        </is>
      </c>
    </row>
    <row r="2" ht="18" customHeight="1">
      <c r="A2" s="2" t="inlineStr">
        <is>
          <t>12-Week Honest Performance Review: Measuring Study Discipline, Weak Concepts, Inefficiencies, and Actionable Adjustments</t>
        </is>
      </c>
    </row>
    <row r="4" ht="28" customHeight="1">
      <c r="A4" s="13" t="inlineStr">
        <is>
          <t>Week Starting</t>
        </is>
      </c>
      <c r="B4" s="13" t="inlineStr">
        <is>
          <t>Week #</t>
        </is>
      </c>
      <c r="C4" s="13" t="inlineStr">
        <is>
          <t>Planned Hours</t>
        </is>
      </c>
      <c r="D4" s="13" t="inlineStr">
        <is>
          <t>Actual Hours</t>
        </is>
      </c>
      <c r="E4" s="13" t="inlineStr">
        <is>
          <t>Topics Planned</t>
        </is>
      </c>
      <c r="F4" s="13" t="inlineStr">
        <is>
          <t>Topics Completed</t>
        </is>
      </c>
      <c r="G4" s="13" t="inlineStr">
        <is>
          <t>Exercises Done</t>
        </is>
      </c>
      <c r="H4" s="13" t="inlineStr">
        <is>
          <t>Projects Advanced</t>
        </is>
      </c>
      <c r="I4" s="13" t="inlineStr">
        <is>
          <t>Assessment Avg (%)</t>
        </is>
      </c>
      <c r="J4" s="13" t="inlineStr">
        <is>
          <t>Skills Improved</t>
        </is>
      </c>
      <c r="K4" s="13" t="inlineStr">
        <is>
          <t>Strongest Topics</t>
        </is>
      </c>
      <c r="L4" s="13" t="inlineStr">
        <is>
          <t>Weakest Topics</t>
        </is>
      </c>
      <c r="M4" s="13" t="inlineStr">
        <is>
          <t>Blockers Encountered</t>
        </is>
      </c>
      <c r="N4" s="13" t="inlineStr">
        <is>
          <t>Time Wasted / Inefficiencies</t>
        </is>
      </c>
      <c r="O4" s="13" t="inlineStr">
        <is>
          <t>Key Lessons Learned</t>
        </is>
      </c>
      <c r="P4" s="13" t="inlineStr">
        <is>
          <t>Next Week Goals &amp; Schedule Adjustments</t>
        </is>
      </c>
      <c r="Q4" s="13" t="inlineStr">
        <is>
          <t>Overall Confidence (1-5)</t>
        </is>
      </c>
    </row>
    <row r="5" ht="42" customHeight="1">
      <c r="A5" s="14" t="inlineStr">
        <is>
          <t>2026-11-01</t>
        </is>
      </c>
      <c r="B5" s="14" t="inlineStr">
        <is>
          <t>Week 01</t>
        </is>
      </c>
      <c r="C5" s="38" t="n">
        <v>16</v>
      </c>
      <c r="D5" s="38" t="n">
        <v>0</v>
      </c>
      <c r="E5" s="17" t="n">
        <v>5</v>
      </c>
      <c r="F5" s="17" t="n">
        <v>0</v>
      </c>
      <c r="G5" s="16" t="inlineStr">
        <is>
          <t>Async HTTP client, Vector dot products</t>
        </is>
      </c>
      <c r="H5" s="15" t="inlineStr">
        <is>
          <t>Dev environment setup &amp; testing suite</t>
        </is>
      </c>
      <c r="I5" s="29" t="n"/>
      <c r="J5" s="16" t="inlineStr">
        <is>
          <t>Python type hints, matrix geometry</t>
        </is>
      </c>
      <c r="K5" s="16" t="inlineStr">
        <is>
          <t>Python OOP, basic algebra</t>
        </is>
      </c>
      <c r="L5" s="16" t="inlineStr">
        <is>
          <t>Eigenvalues, async event loops</t>
        </is>
      </c>
      <c r="M5" s="16" t="inlineStr">
        <is>
          <t>None</t>
        </is>
      </c>
      <c r="N5" s="16" t="inlineStr">
        <is>
          <t>Spent 1.5h tweaking VS Code themes instead of coding</t>
        </is>
      </c>
      <c r="O5" s="16" t="inlineStr">
        <is>
          <t>Write tests before implementing business logic.</t>
        </is>
      </c>
      <c r="P5" s="16" t="inlineStr">
        <is>
          <t>Master gradient descent and start Pandas.</t>
        </is>
      </c>
      <c r="Q5" s="14" t="n">
        <v>3</v>
      </c>
    </row>
    <row r="6" ht="42" customHeight="1">
      <c r="A6" s="19" t="inlineStr">
        <is>
          <t>2026-11-08</t>
        </is>
      </c>
      <c r="B6" s="19" t="inlineStr">
        <is>
          <t>Week 02</t>
        </is>
      </c>
      <c r="C6" s="39" t="n">
        <v>17.5</v>
      </c>
      <c r="D6" s="39" t="n">
        <v>0</v>
      </c>
      <c r="E6" s="22" t="n">
        <v>5</v>
      </c>
      <c r="F6" s="22" t="n">
        <v>0</v>
      </c>
      <c r="G6" s="21" t="inlineStr">
        <is>
          <t>Gradient descent loop, NumPy matrix drills</t>
        </is>
      </c>
      <c r="H6" s="20" t="inlineStr">
        <is>
          <t>Scratch math repository</t>
        </is>
      </c>
      <c r="I6" s="33" t="n"/>
      <c r="J6" s="21" t="inlineStr">
        <is>
          <t>Optimization math, vectorized arrays</t>
        </is>
      </c>
      <c r="K6" s="21" t="inlineStr">
        <is>
          <t>Gradient descent intuition</t>
        </is>
      </c>
      <c r="L6" s="21" t="inlineStr">
        <is>
          <t>Partial derivatives chain rule</t>
        </is>
      </c>
      <c r="M6" s="21" t="inlineStr">
        <is>
          <t>Math notation confusion</t>
        </is>
      </c>
      <c r="N6" s="21" t="inlineStr">
        <is>
          <t>Passive reading of math blogs without writing formulas by hand</t>
        </is>
      </c>
      <c r="O6" s="21" t="inlineStr">
        <is>
          <t>Work through calculus examples on paper first.</t>
        </is>
      </c>
      <c r="P6" s="21" t="inlineStr">
        <is>
          <t>Deep dive into Pandas data wrangling.</t>
        </is>
      </c>
      <c r="Q6" s="19" t="n">
        <v>3</v>
      </c>
    </row>
    <row r="7" ht="42" customHeight="1">
      <c r="A7" s="14" t="inlineStr">
        <is>
          <t>2026-11-15</t>
        </is>
      </c>
      <c r="B7" s="14" t="inlineStr">
        <is>
          <t>Week 03</t>
        </is>
      </c>
      <c r="C7" s="38" t="n">
        <v>16</v>
      </c>
      <c r="D7" s="38" t="n">
        <v>0</v>
      </c>
      <c r="E7" s="17" t="n">
        <v>4</v>
      </c>
      <c r="F7" s="17" t="n">
        <v>0</v>
      </c>
      <c r="G7" s="16" t="inlineStr">
        <is>
          <t>Pandas aggregation, data cleaning scripts</t>
        </is>
      </c>
      <c r="H7" s="15" t="inlineStr">
        <is>
          <t>Project 1: Sales Data Analysis</t>
        </is>
      </c>
      <c r="I7" s="29" t="n"/>
      <c r="J7" s="16" t="inlineStr">
        <is>
          <t>Data hygiene, outlier detection</t>
        </is>
      </c>
      <c r="K7" s="16" t="inlineStr">
        <is>
          <t>Pandas filtering, Matplotlib heatmaps</t>
        </is>
      </c>
      <c r="L7" s="16" t="inlineStr">
        <is>
          <t>Datetime parsing edge cases</t>
        </is>
      </c>
      <c r="M7" s="16" t="inlineStr">
        <is>
          <t>Dirty CSV date formats</t>
        </is>
      </c>
      <c r="N7" s="16" t="inlineStr">
        <is>
          <t>Overcomplicating data visualization layout</t>
        </is>
      </c>
      <c r="O7" s="16" t="inlineStr">
        <is>
          <t>Vectorized Pandas operations are 100x faster than loops.</t>
        </is>
      </c>
      <c r="P7" s="16" t="inlineStr">
        <is>
          <t>Complete Project 1 executive report.</t>
        </is>
      </c>
      <c r="Q7" s="14" t="n">
        <v>4</v>
      </c>
    </row>
    <row r="8" ht="42" customHeight="1">
      <c r="A8" s="19" t="inlineStr">
        <is>
          <t>2026-11-22</t>
        </is>
      </c>
      <c r="B8" s="19" t="inlineStr">
        <is>
          <t>Week 04</t>
        </is>
      </c>
      <c r="C8" s="39" t="n">
        <v>18</v>
      </c>
      <c r="D8" s="39" t="n">
        <v>0</v>
      </c>
      <c r="E8" s="22" t="n">
        <v>5</v>
      </c>
      <c r="F8" s="22" t="n">
        <v>0</v>
      </c>
      <c r="G8" s="21" t="inlineStr">
        <is>
          <t>RFM segmentation, Logistic Regression scratch</t>
        </is>
      </c>
      <c r="H8" s="20" t="inlineStr">
        <is>
          <t>Project 1 &amp; Project 2 setup</t>
        </is>
      </c>
      <c r="I8" s="33" t="n"/>
      <c r="J8" s="21" t="inlineStr">
        <is>
          <t>RFM customer segmentation, Scikit-learn</t>
        </is>
      </c>
      <c r="K8" s="21" t="inlineStr">
        <is>
          <t>Classification intuition</t>
        </is>
      </c>
      <c r="L8" s="21" t="inlineStr">
        <is>
          <t>Log-odds mathematical interpretation</t>
        </is>
      </c>
      <c r="M8" s="21" t="inlineStr">
        <is>
          <t>Missing CRM values</t>
        </is>
      </c>
      <c r="N8" s="21" t="inlineStr">
        <is>
          <t>Debugging Scikit-Learn pipeline column types</t>
        </is>
      </c>
      <c r="O8" s="21" t="inlineStr">
        <is>
          <t>Always check feature types with df.info() before fitting.</t>
        </is>
      </c>
      <c r="P8" s="21" t="inlineStr">
        <is>
          <t>Train XGBoost model for customer prediction.</t>
        </is>
      </c>
      <c r="Q8" s="19" t="n">
        <v>3</v>
      </c>
    </row>
    <row r="9" ht="42" customHeight="1">
      <c r="A9" s="14" t="inlineStr">
        <is>
          <t>2026-11-29</t>
        </is>
      </c>
      <c r="B9" s="14" t="inlineStr">
        <is>
          <t>Week 05</t>
        </is>
      </c>
      <c r="C9" s="38" t="n">
        <v>16</v>
      </c>
      <c r="D9" s="38" t="n">
        <v>0</v>
      </c>
      <c r="E9" s="17" t="n">
        <v>4</v>
      </c>
      <c r="F9" s="17" t="n">
        <v>0</v>
      </c>
      <c r="G9" s="16" t="inlineStr">
        <is>
          <t>Decision trees, Random Forest, XGBoost</t>
        </is>
      </c>
      <c r="H9" s="15" t="inlineStr">
        <is>
          <t>Project 2: Customer Purchase Predictor</t>
        </is>
      </c>
      <c r="I9" s="29" t="n"/>
      <c r="J9" s="16" t="inlineStr">
        <is>
          <t>Tree ensembles, ROC-AUC evaluation</t>
        </is>
      </c>
      <c r="K9" s="16" t="inlineStr">
        <is>
          <t>Feature importance interpretation</t>
        </is>
      </c>
      <c r="L9" s="16" t="inlineStr">
        <is>
          <t>Class imbalance hyperparameter tuning</t>
        </is>
      </c>
      <c r="M9" s="16" t="inlineStr">
        <is>
          <t>High class imbalance (97% negative)</t>
        </is>
      </c>
      <c r="N9" s="16" t="inlineStr">
        <is>
          <t>Searching StackOverflow blindly instead of reading docs</t>
        </is>
      </c>
      <c r="O9" s="16" t="inlineStr">
        <is>
          <t>Use Precision-Recall curve when classes are highly skewed.</t>
        </is>
      </c>
      <c r="P9" s="16" t="inlineStr">
        <is>
          <t>Complete Project 2 GitHub submission.</t>
        </is>
      </c>
      <c r="Q9" s="14" t="n">
        <v>4</v>
      </c>
    </row>
    <row r="10" ht="42" customHeight="1">
      <c r="A10" s="19" t="inlineStr">
        <is>
          <t>2026-12-06</t>
        </is>
      </c>
      <c r="B10" s="19" t="inlineStr">
        <is>
          <t>Week 06</t>
        </is>
      </c>
      <c r="C10" s="39" t="n">
        <v>17</v>
      </c>
      <c r="D10" s="39" t="n">
        <v>0</v>
      </c>
      <c r="E10" s="22" t="n">
        <v>4</v>
      </c>
      <c r="F10" s="22" t="n">
        <v>0</v>
      </c>
      <c r="G10" s="21" t="inlineStr">
        <is>
          <t>K-Means clustering, PCA dimensionality reduction</t>
        </is>
      </c>
      <c r="H10" s="20" t="inlineStr">
        <is>
          <t>Project 2 tuning &amp; Project 3 setup</t>
        </is>
      </c>
      <c r="I10" s="33" t="n"/>
      <c r="J10" s="21" t="inlineStr">
        <is>
          <t>Unsupervised learning, clustering</t>
        </is>
      </c>
      <c r="K10" s="21" t="inlineStr">
        <is>
          <t>K-Means elbow method</t>
        </is>
      </c>
      <c r="L10" s="21" t="inlineStr">
        <is>
          <t>PCA variance interpretation</t>
        </is>
      </c>
      <c r="M10" s="21" t="inlineStr">
        <is>
          <t>Sparse feature matrices</t>
        </is>
      </c>
      <c r="N10" s="21" t="inlineStr">
        <is>
          <t>Spent 2 hours rewriting working clustering algorithm</t>
        </is>
      </c>
      <c r="O10" s="21" t="inlineStr">
        <is>
          <t>Start with Scikit-learn baseline before writing custom code.</t>
        </is>
      </c>
      <c r="P10" s="21" t="inlineStr">
        <is>
          <t>Begin PyTorch deep learning blitz.</t>
        </is>
      </c>
      <c r="Q10" s="19" t="n">
        <v>3</v>
      </c>
    </row>
    <row r="11" ht="42" customHeight="1">
      <c r="A11" s="14" t="inlineStr">
        <is>
          <t>2026-12-13</t>
        </is>
      </c>
      <c r="B11" s="14" t="inlineStr">
        <is>
          <t>Week 07</t>
        </is>
      </c>
      <c r="C11" s="38" t="n">
        <v>18</v>
      </c>
      <c r="D11" s="38" t="n">
        <v>0</v>
      </c>
      <c r="E11" s="17" t="n">
        <v>4</v>
      </c>
      <c r="F11" s="17" t="n">
        <v>0</v>
      </c>
      <c r="G11" s="16" t="inlineStr">
        <is>
          <t>PyTorch tensors, autograd backwards pass</t>
        </is>
      </c>
      <c r="H11" s="15" t="inlineStr">
        <is>
          <t>Project 3: Intent Classifier</t>
        </is>
      </c>
      <c r="I11" s="29" t="n"/>
      <c r="J11" s="16" t="inlineStr">
        <is>
          <t>PyTorch tensor operations, CUDA setup</t>
        </is>
      </c>
      <c r="K11" s="16" t="inlineStr">
        <is>
          <t>Autograd computation graphs</t>
        </is>
      </c>
      <c r="L11" s="16" t="inlineStr">
        <is>
          <t>Tensor dimension broadcasting rules</t>
        </is>
      </c>
      <c r="M11" s="16" t="inlineStr">
        <is>
          <t>CUDA out-of-memory errors on GPU</t>
        </is>
      </c>
      <c r="N11" s="16" t="inlineStr">
        <is>
          <t>Debugging shape mismatch errors without printing tensor.shape</t>
        </is>
      </c>
      <c r="O11" s="16" t="inlineStr">
        <is>
          <t>Always write assert tensor.shape == (B, C, H, W) before operations.</t>
        </is>
      </c>
      <c r="P11" s="16" t="inlineStr">
        <is>
          <t>Train multi-layer perceptron in PyTorch.</t>
        </is>
      </c>
      <c r="Q11" s="14" t="n">
        <v>3</v>
      </c>
    </row>
    <row r="12" ht="42" customHeight="1">
      <c r="A12" s="19" t="inlineStr">
        <is>
          <t>2026-12-20</t>
        </is>
      </c>
      <c r="B12" s="19" t="inlineStr">
        <is>
          <t>Week 08</t>
        </is>
      </c>
      <c r="C12" s="39" t="n">
        <v>16.5</v>
      </c>
      <c r="D12" s="39" t="n">
        <v>0</v>
      </c>
      <c r="E12" s="22" t="n">
        <v>4</v>
      </c>
      <c r="F12" s="22" t="n">
        <v>0</v>
      </c>
      <c r="G12" s="21" t="inlineStr">
        <is>
          <t>PyTorch MLP, custom Dataset, AdamW optimizer</t>
        </is>
      </c>
      <c r="H12" s="20" t="inlineStr">
        <is>
          <t>Project 3: Intent Classifier</t>
        </is>
      </c>
      <c r="I12" s="33" t="n"/>
      <c r="J12" s="21" t="inlineStr">
        <is>
          <t>Neural network training loops, early stopping</t>
        </is>
      </c>
      <c r="K12" s="21" t="inlineStr">
        <is>
          <t>Loss function selection</t>
        </is>
      </c>
      <c r="L12" s="21" t="inlineStr">
        <is>
          <t>Learning rate scheduling</t>
        </is>
      </c>
      <c r="M12" s="21" t="inlineStr">
        <is>
          <t>Overfitting on small training set</t>
        </is>
      </c>
      <c r="N12" s="21" t="inlineStr">
        <is>
          <t>Letting model train 50 epochs after validation loss plateaus</t>
        </is>
      </c>
      <c r="O12" s="21" t="inlineStr">
        <is>
          <t>Implement early stopping based on validation loss.</t>
        </is>
      </c>
      <c r="P12" s="21" t="inlineStr">
        <is>
          <t>Tokenization and Transformer attention mechanism.</t>
        </is>
      </c>
      <c r="Q12" s="19" t="n">
        <v>4</v>
      </c>
    </row>
    <row r="13" ht="42" customHeight="1">
      <c r="A13" s="14" t="inlineStr">
        <is>
          <t>2026-12-27</t>
        </is>
      </c>
      <c r="B13" s="14" t="inlineStr">
        <is>
          <t>Week 09</t>
        </is>
      </c>
      <c r="C13" s="38" t="n">
        <v>16</v>
      </c>
      <c r="D13" s="38" t="n">
        <v>0</v>
      </c>
      <c r="E13" s="17" t="n">
        <v>3</v>
      </c>
      <c r="F13" s="17" t="n">
        <v>0</v>
      </c>
      <c r="G13" s="16" t="inlineStr">
        <is>
          <t>BPE tokenization, self-attention PyTorch module</t>
        </is>
      </c>
      <c r="H13" s="15" t="inlineStr">
        <is>
          <t>Transformer scratch notebook</t>
        </is>
      </c>
      <c r="I13" s="29" t="n"/>
      <c r="J13" s="16" t="inlineStr">
        <is>
          <t>Scaled dot-product attention math</t>
        </is>
      </c>
      <c r="K13" s="16" t="inlineStr">
        <is>
          <t>Tokenization economics, tiktoken</t>
        </is>
      </c>
      <c r="L13" s="16" t="inlineStr">
        <is>
          <t>Multi-head attention tensor reshaping</t>
        </is>
      </c>
      <c r="M13" s="16" t="inlineStr">
        <is>
          <t>Causal attention masking logic</t>
        </is>
      </c>
      <c r="N13" s="16" t="inlineStr">
        <is>
          <t>Struggled with matrix dimensions in attention layer</t>
        </is>
      </c>
      <c r="O13" s="16" t="inlineStr">
        <is>
          <t>Self-attention is simply a weighted average of values by query-key similarity.</t>
        </is>
      </c>
      <c r="P13" s="16" t="inlineStr">
        <is>
          <t>Prompt engineering and structured outputs.</t>
        </is>
      </c>
      <c r="Q13" s="14" t="n">
        <v>4</v>
      </c>
    </row>
    <row r="14" ht="42" customHeight="1">
      <c r="A14" s="19" t="inlineStr">
        <is>
          <t>2027-01-03</t>
        </is>
      </c>
      <c r="B14" s="19" t="inlineStr">
        <is>
          <t>Week 10</t>
        </is>
      </c>
      <c r="C14" s="39" t="n">
        <v>17</v>
      </c>
      <c r="D14" s="39" t="n">
        <v>0</v>
      </c>
      <c r="E14" s="22" t="n">
        <v>4</v>
      </c>
      <c r="F14" s="22" t="n">
        <v>0</v>
      </c>
      <c r="G14" s="21" t="inlineStr">
        <is>
          <t>Pydantic structured output, OpenAI API wrapper</t>
        </is>
      </c>
      <c r="H14" s="20" t="inlineStr">
        <is>
          <t>BANT extraction pipeline</t>
        </is>
      </c>
      <c r="I14" s="33" t="n"/>
      <c r="J14" s="21" t="inlineStr">
        <is>
          <t>Constrained JSON decoding, prompt defense</t>
        </is>
      </c>
      <c r="K14" s="21" t="inlineStr">
        <is>
          <t>Deterministic schema extraction</t>
        </is>
      </c>
      <c r="L14" s="21" t="inlineStr">
        <is>
          <t>Rate limit exponential backoffs</t>
        </is>
      </c>
      <c r="M14" s="21" t="inlineStr">
        <is>
          <t>API 429 rate limit exceptions</t>
        </is>
      </c>
      <c r="N14" s="21" t="inlineStr">
        <is>
          <t>Writing complex regex parsers instead of using native structured outputs</t>
        </is>
      </c>
      <c r="O14" s="21" t="inlineStr">
        <is>
          <t>Use official response_format=json_schema; never parse JSON with regex.</t>
        </is>
      </c>
      <c r="P14" s="21" t="inlineStr">
        <is>
          <t>Embeddings, vector databases, and RAG.</t>
        </is>
      </c>
      <c r="Q14" s="19" t="n">
        <v>4</v>
      </c>
    </row>
    <row r="15" ht="42" customHeight="1">
      <c r="A15" s="14" t="inlineStr">
        <is>
          <t>2027-01-10</t>
        </is>
      </c>
      <c r="B15" s="14" t="inlineStr">
        <is>
          <t>Week 11</t>
        </is>
      </c>
      <c r="C15" s="38" t="n">
        <v>18</v>
      </c>
      <c r="D15" s="38" t="n">
        <v>0</v>
      </c>
      <c r="E15" s="17" t="n">
        <v>4</v>
      </c>
      <c r="F15" s="17" t="n">
        <v>0</v>
      </c>
      <c r="G15" s="16" t="inlineStr">
        <is>
          <t>pgvector setup, semantic chunking pipeline</t>
        </is>
      </c>
      <c r="H15" s="15" t="inlineStr">
        <is>
          <t>Project 4: Product Knowledge Assistant</t>
        </is>
      </c>
      <c r="I15" s="29" t="n"/>
      <c r="J15" s="16" t="inlineStr">
        <is>
          <t>Vector indexing, cosine search, hybrid retrieval</t>
        </is>
      </c>
      <c r="K15" s="16" t="inlineStr">
        <is>
          <t>pgvector SQL integration</t>
        </is>
      </c>
      <c r="L15" s="16" t="inlineStr">
        <is>
          <t>BM25 keyword search tuning</t>
        </is>
      </c>
      <c r="M15" s="16" t="inlineStr">
        <is>
          <t>Chunking table data in PDF documents</t>
        </is>
      </c>
      <c r="N15" s="16" t="inlineStr">
        <is>
          <t>Trying to chunk PDFs without extracting markdown structure</t>
        </is>
      </c>
      <c r="O15" s="16" t="inlineStr">
        <is>
          <t>Clean markdown conversion is 80% of RAG retrieval success.</t>
        </is>
      </c>
      <c r="P15" s="16" t="inlineStr">
        <is>
          <t>AI Agent tool calling and LangGraph state loops.</t>
        </is>
      </c>
      <c r="Q15" s="14" t="n">
        <v>4</v>
      </c>
    </row>
    <row r="16" ht="42" customHeight="1">
      <c r="A16" s="19" t="inlineStr">
        <is>
          <t>2027-01-17</t>
        </is>
      </c>
      <c r="B16" s="19" t="inlineStr">
        <is>
          <t>Week 12</t>
        </is>
      </c>
      <c r="C16" s="39" t="n">
        <v>18</v>
      </c>
      <c r="D16" s="39" t="n">
        <v>0</v>
      </c>
      <c r="E16" s="22" t="n">
        <v>4</v>
      </c>
      <c r="F16" s="22" t="n">
        <v>0</v>
      </c>
      <c r="G16" s="21" t="inlineStr">
        <is>
          <t>ReAct agent loop, tool execution dispatcher</t>
        </is>
      </c>
      <c r="H16" s="20" t="inlineStr">
        <is>
          <t>Project 5 &amp; Project 6 setup</t>
        </is>
      </c>
      <c r="I16" s="33" t="n"/>
      <c r="J16" s="21" t="inlineStr">
        <is>
          <t>Agent reasoning loops, tool calling schemas</t>
        </is>
      </c>
      <c r="K16" s="21" t="inlineStr">
        <is>
          <t>Function calling with Pydantic</t>
        </is>
      </c>
      <c r="L16" s="21" t="inlineStr">
        <is>
          <t>Handling tool execution failure gracefully</t>
        </is>
      </c>
      <c r="M16" s="21" t="inlineStr">
        <is>
          <t>LLM hallucinating tool arguments</t>
        </is>
      </c>
      <c r="N16" s="21" t="inlineStr">
        <is>
          <t>Vague tool docstrings causing LLM confusion</t>
        </is>
      </c>
      <c r="O16" s="21" t="inlineStr">
        <is>
          <t>Tool parameter docstrings must be as clear and precise as human API documentation.</t>
        </is>
      </c>
      <c r="P16" s="21" t="inlineStr">
        <is>
          <t>Build multi-agent sales qualification workflow.</t>
        </is>
      </c>
      <c r="Q16" s="19" t="n">
        <v>4</v>
      </c>
    </row>
    <row r="17" ht="24" customHeight="1">
      <c r="A17" s="24" t="inlineStr">
        <is>
          <t>TOTAL PLANNED HOURS</t>
        </is>
      </c>
      <c r="B17" s="25" t="n"/>
      <c r="C17" s="35">
        <f>SUM(C5:C16)</f>
        <v/>
      </c>
      <c r="D17" s="35">
        <f>SUM(D5:D16)</f>
        <v/>
      </c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</row>
  </sheetData>
  <autoFilter ref="A4:Q16"/>
  <mergeCells count="1">
    <mergeCell ref="A17:B17"/>
  </mergeCells>
  <dataValidations count="1">
    <dataValidation sqref="Q5:Q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5" customWidth="1" min="3" max="3"/>
    <col width="15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EXECUTIVE AI LEARNING &amp; PROJECT PERFORMANCE DASHBOARD</t>
        </is>
      </c>
    </row>
    <row r="2" ht="18" customHeight="1">
      <c r="A2" s="2" t="inlineStr">
        <is>
          <t>Automated Real-Time Analytics Powered by Dynamic Formulas Connecting All 12 Curricula and Projects</t>
        </is>
      </c>
    </row>
    <row r="4" ht="22" customHeight="1">
      <c r="A4" s="40" t="inlineStr">
        <is>
          <t xml:space="preserve">  1. STRATEGIC METRICS &amp; LEARNING PROGRESS KPIS</t>
        </is>
      </c>
    </row>
    <row r="5" ht="18" customHeight="1">
      <c r="A5" s="41" t="inlineStr">
        <is>
          <t>TOTAL TOPICS</t>
        </is>
      </c>
      <c r="B5" s="42" t="n"/>
      <c r="C5" s="41" t="inlineStr">
        <is>
          <t>COMPLETED TOPICS</t>
        </is>
      </c>
      <c r="D5" s="42" t="n"/>
      <c r="E5" s="41" t="inlineStr">
        <is>
          <t>TOPICS IN PROGRESS</t>
        </is>
      </c>
      <c r="F5" s="42" t="n"/>
      <c r="G5" s="41" t="inlineStr">
        <is>
          <t>BLOCKED TOPICS</t>
        </is>
      </c>
      <c r="H5" s="42" t="n"/>
      <c r="I5" s="41" t="inlineStr">
        <is>
          <t>OVERALL COMPLETION %</t>
        </is>
      </c>
      <c r="J5" s="42" t="n"/>
      <c r="K5" s="42" t="n"/>
    </row>
    <row r="6" ht="28" customHeight="1">
      <c r="A6" s="43">
        <f>COUNTA('Topic Completion Checklist'!C5:C56)</f>
        <v/>
      </c>
      <c r="B6" s="44" t="n"/>
      <c r="C6" s="43">
        <f>COUNTIF('Topic Completion Checklist'!G5:G56, "Completed") + COUNTIF('Topic Completion Checklist'!G5:G56, "Mastered")</f>
        <v/>
      </c>
      <c r="D6" s="44" t="n"/>
      <c r="E6" s="43">
        <f>COUNTIF('Topic Completion Checklist'!G5:G56, "In Progress")</f>
        <v/>
      </c>
      <c r="F6" s="44" t="n"/>
      <c r="G6" s="43">
        <f>COUNTIF('Topic Completion Checklist'!G5:G56, "Blocked")</f>
        <v/>
      </c>
      <c r="H6" s="44" t="n"/>
      <c r="I6" s="45">
        <f>IF(A6&gt;0, C6/A6, 0)</f>
        <v/>
      </c>
      <c r="J6" s="44" t="n"/>
      <c r="K6" s="44" t="n"/>
    </row>
    <row r="7" ht="8" customHeight="1"/>
    <row r="8" ht="18" customHeight="1">
      <c r="A8" s="41" t="inlineStr">
        <is>
          <t>PLANNED STUDY HOURS</t>
        </is>
      </c>
      <c r="B8" s="42" t="n"/>
      <c r="C8" s="41" t="inlineStr">
        <is>
          <t>ACTUAL STUDY HOURS</t>
        </is>
      </c>
      <c r="D8" s="42" t="n"/>
      <c r="E8" s="41" t="inlineStr">
        <is>
          <t>PROJECTS COMPLETED</t>
        </is>
      </c>
      <c r="F8" s="42" t="n"/>
      <c r="G8" s="41" t="inlineStr">
        <is>
          <t>TUTORIALS COMPLETED</t>
        </is>
      </c>
      <c r="H8" s="42" t="n"/>
      <c r="I8" s="41" t="inlineStr">
        <is>
          <t>AVG CONFIDENCE (1-5)</t>
        </is>
      </c>
      <c r="J8" s="42" t="n"/>
      <c r="K8" s="42" t="n"/>
    </row>
    <row r="9" ht="28" customHeight="1">
      <c r="A9" s="43">
        <f>SUM('Master Roadmap'!H5:H16)</f>
        <v/>
      </c>
      <c r="B9" s="44" t="n"/>
      <c r="C9" s="46">
        <f>SUM('Master Roadmap'!I5:I16)</f>
        <v/>
      </c>
      <c r="D9" s="44" t="n"/>
      <c r="E9" s="43">
        <f>COUNTIF('AI Project Backlog'!K5:K14, "Completed")</f>
        <v/>
      </c>
      <c r="F9" s="44" t="n"/>
      <c r="G9" s="43">
        <f>COUNTIF('Tutorial and Course Tracker'!L5:L20, "Completed")</f>
        <v/>
      </c>
      <c r="H9" s="44" t="n"/>
      <c r="I9" s="47">
        <f>AVERAGE('Topic Completion Checklist'!H5:H56)</f>
        <v/>
      </c>
      <c r="J9" s="44" t="n"/>
      <c r="K9" s="44" t="n"/>
    </row>
    <row r="11" ht="8" customHeight="1"/>
    <row r="12" ht="22" customHeight="1">
      <c r="A12" s="48" t="inlineStr">
        <is>
          <t xml:space="preserve">  2. 12-PHASE ROADMAP EXECUTION &amp; HOUR TRACKING</t>
        </is>
      </c>
    </row>
    <row r="13" ht="24" customHeight="1">
      <c r="A13" s="49" t="inlineStr">
        <is>
          <t>Phase #</t>
        </is>
      </c>
      <c r="B13" s="49" t="inlineStr">
        <is>
          <t>Phase Name</t>
        </is>
      </c>
      <c r="C13" s="49" t="inlineStr">
        <is>
          <t>Planned Hours</t>
        </is>
      </c>
      <c r="D13" s="49" t="inlineStr">
        <is>
          <t>Actual Hours</t>
        </is>
      </c>
      <c r="E13" s="49" t="inlineStr">
        <is>
          <t>Status</t>
        </is>
      </c>
      <c r="F13" s="49" t="inlineStr">
        <is>
          <t>Progress %</t>
        </is>
      </c>
    </row>
    <row r="14" ht="20" customHeight="1">
      <c r="A14" s="14" t="inlineStr">
        <is>
          <t>Phase 1</t>
        </is>
      </c>
      <c r="B14" s="30">
        <f>'Master Roadmap'!B5</f>
        <v/>
      </c>
      <c r="C14" s="36">
        <f>'Master Roadmap'!H5</f>
        <v/>
      </c>
      <c r="D14" s="38">
        <f>'Master Roadmap'!I5</f>
        <v/>
      </c>
      <c r="E14" s="14">
        <f>'Master Roadmap'!N5</f>
        <v/>
      </c>
      <c r="F14" s="50">
        <f>IF(C14&gt;0, D14/C14, 0)</f>
        <v/>
      </c>
    </row>
    <row r="15" ht="20" customHeight="1">
      <c r="A15" s="19" t="inlineStr">
        <is>
          <t>Phase 2</t>
        </is>
      </c>
      <c r="B15" s="34">
        <f>'Master Roadmap'!B6</f>
        <v/>
      </c>
      <c r="C15" s="37">
        <f>'Master Roadmap'!H6</f>
        <v/>
      </c>
      <c r="D15" s="39">
        <f>'Master Roadmap'!I6</f>
        <v/>
      </c>
      <c r="E15" s="19">
        <f>'Master Roadmap'!N6</f>
        <v/>
      </c>
      <c r="F15" s="51">
        <f>IF(C15&gt;0, D15/C15, 0)</f>
        <v/>
      </c>
    </row>
    <row r="16" ht="20" customHeight="1">
      <c r="A16" s="14" t="inlineStr">
        <is>
          <t>Phase 3</t>
        </is>
      </c>
      <c r="B16" s="30">
        <f>'Master Roadmap'!B7</f>
        <v/>
      </c>
      <c r="C16" s="36">
        <f>'Master Roadmap'!H7</f>
        <v/>
      </c>
      <c r="D16" s="38">
        <f>'Master Roadmap'!I7</f>
        <v/>
      </c>
      <c r="E16" s="14">
        <f>'Master Roadmap'!N7</f>
        <v/>
      </c>
      <c r="F16" s="50">
        <f>IF(C16&gt;0, D16/C16, 0)</f>
        <v/>
      </c>
    </row>
    <row r="17" ht="20" customHeight="1">
      <c r="A17" s="19" t="inlineStr">
        <is>
          <t>Phase 4</t>
        </is>
      </c>
      <c r="B17" s="34">
        <f>'Master Roadmap'!B8</f>
        <v/>
      </c>
      <c r="C17" s="37">
        <f>'Master Roadmap'!H8</f>
        <v/>
      </c>
      <c r="D17" s="39">
        <f>'Master Roadmap'!I8</f>
        <v/>
      </c>
      <c r="E17" s="19">
        <f>'Master Roadmap'!N8</f>
        <v/>
      </c>
      <c r="F17" s="51">
        <f>IF(C17&gt;0, D17/C17, 0)</f>
        <v/>
      </c>
    </row>
    <row r="18" ht="20" customHeight="1">
      <c r="A18" s="14" t="inlineStr">
        <is>
          <t>Phase 5</t>
        </is>
      </c>
      <c r="B18" s="30">
        <f>'Master Roadmap'!B9</f>
        <v/>
      </c>
      <c r="C18" s="36">
        <f>'Master Roadmap'!H9</f>
        <v/>
      </c>
      <c r="D18" s="38">
        <f>'Master Roadmap'!I9</f>
        <v/>
      </c>
      <c r="E18" s="14">
        <f>'Master Roadmap'!N9</f>
        <v/>
      </c>
      <c r="F18" s="50">
        <f>IF(C18&gt;0, D18/C18, 0)</f>
        <v/>
      </c>
    </row>
    <row r="19" ht="20" customHeight="1">
      <c r="A19" s="19" t="inlineStr">
        <is>
          <t>Phase 6</t>
        </is>
      </c>
      <c r="B19" s="34">
        <f>'Master Roadmap'!B10</f>
        <v/>
      </c>
      <c r="C19" s="37">
        <f>'Master Roadmap'!H10</f>
        <v/>
      </c>
      <c r="D19" s="39">
        <f>'Master Roadmap'!I10</f>
        <v/>
      </c>
      <c r="E19" s="19">
        <f>'Master Roadmap'!N10</f>
        <v/>
      </c>
      <c r="F19" s="51">
        <f>IF(C19&gt;0, D19/C19, 0)</f>
        <v/>
      </c>
    </row>
    <row r="20" ht="20" customHeight="1">
      <c r="A20" s="14" t="inlineStr">
        <is>
          <t>Phase 7</t>
        </is>
      </c>
      <c r="B20" s="30">
        <f>'Master Roadmap'!B11</f>
        <v/>
      </c>
      <c r="C20" s="36">
        <f>'Master Roadmap'!H11</f>
        <v/>
      </c>
      <c r="D20" s="38">
        <f>'Master Roadmap'!I11</f>
        <v/>
      </c>
      <c r="E20" s="14">
        <f>'Master Roadmap'!N11</f>
        <v/>
      </c>
      <c r="F20" s="50">
        <f>IF(C20&gt;0, D20/C20, 0)</f>
        <v/>
      </c>
    </row>
    <row r="21" ht="20" customHeight="1">
      <c r="A21" s="19" t="inlineStr">
        <is>
          <t>Phase 8</t>
        </is>
      </c>
      <c r="B21" s="34">
        <f>'Master Roadmap'!B12</f>
        <v/>
      </c>
      <c r="C21" s="37">
        <f>'Master Roadmap'!H12</f>
        <v/>
      </c>
      <c r="D21" s="39">
        <f>'Master Roadmap'!I12</f>
        <v/>
      </c>
      <c r="E21" s="19">
        <f>'Master Roadmap'!N12</f>
        <v/>
      </c>
      <c r="F21" s="51">
        <f>IF(C21&gt;0, D21/C21, 0)</f>
        <v/>
      </c>
    </row>
    <row r="22" ht="20" customHeight="1">
      <c r="A22" s="14" t="inlineStr">
        <is>
          <t>Phase 9</t>
        </is>
      </c>
      <c r="B22" s="30">
        <f>'Master Roadmap'!B13</f>
        <v/>
      </c>
      <c r="C22" s="36">
        <f>'Master Roadmap'!H13</f>
        <v/>
      </c>
      <c r="D22" s="38">
        <f>'Master Roadmap'!I13</f>
        <v/>
      </c>
      <c r="E22" s="14">
        <f>'Master Roadmap'!N13</f>
        <v/>
      </c>
      <c r="F22" s="50">
        <f>IF(C22&gt;0, D22/C22, 0)</f>
        <v/>
      </c>
    </row>
    <row r="23" ht="20" customHeight="1">
      <c r="A23" s="19" t="inlineStr">
        <is>
          <t>Phase 10</t>
        </is>
      </c>
      <c r="B23" s="34">
        <f>'Master Roadmap'!B14</f>
        <v/>
      </c>
      <c r="C23" s="37">
        <f>'Master Roadmap'!H14</f>
        <v/>
      </c>
      <c r="D23" s="39">
        <f>'Master Roadmap'!I14</f>
        <v/>
      </c>
      <c r="E23" s="19">
        <f>'Master Roadmap'!N14</f>
        <v/>
      </c>
      <c r="F23" s="51">
        <f>IF(C23&gt;0, D23/C23, 0)</f>
        <v/>
      </c>
    </row>
    <row r="24" ht="20" customHeight="1">
      <c r="A24" s="14" t="inlineStr">
        <is>
          <t>Phase 11</t>
        </is>
      </c>
      <c r="B24" s="30">
        <f>'Master Roadmap'!B15</f>
        <v/>
      </c>
      <c r="C24" s="36">
        <f>'Master Roadmap'!H15</f>
        <v/>
      </c>
      <c r="D24" s="38">
        <f>'Master Roadmap'!I15</f>
        <v/>
      </c>
      <c r="E24" s="14">
        <f>'Master Roadmap'!N15</f>
        <v/>
      </c>
      <c r="F24" s="50">
        <f>IF(C24&gt;0, D24/C24, 0)</f>
        <v/>
      </c>
    </row>
    <row r="25" ht="20" customHeight="1">
      <c r="A25" s="19" t="inlineStr">
        <is>
          <t>Phase 12</t>
        </is>
      </c>
      <c r="B25" s="34">
        <f>'Master Roadmap'!B16</f>
        <v/>
      </c>
      <c r="C25" s="37">
        <f>'Master Roadmap'!H16</f>
        <v/>
      </c>
      <c r="D25" s="39">
        <f>'Master Roadmap'!I16</f>
        <v/>
      </c>
      <c r="E25" s="19">
        <f>'Master Roadmap'!N16</f>
        <v/>
      </c>
      <c r="F25" s="51">
        <f>IF(C25&gt;0, D25/C25, 0)</f>
        <v/>
      </c>
    </row>
    <row r="26" ht="22" customHeight="1">
      <c r="A26" s="52" t="inlineStr">
        <is>
          <t>TOTAL ROADMAP HOURS</t>
        </is>
      </c>
      <c r="B26" s="25" t="n"/>
      <c r="C26" s="53">
        <f>SUM(C14:C25)</f>
        <v/>
      </c>
      <c r="D26" s="54">
        <f>SUM(D14:D25)</f>
        <v/>
      </c>
      <c r="E26" s="55" t="inlineStr">
        <is>
          <t>-</t>
        </is>
      </c>
      <c r="F26" s="56">
        <f>IF(C26&gt;0, D26/C26, 0)</f>
        <v/>
      </c>
    </row>
  </sheetData>
  <mergeCells count="23">
    <mergeCell ref="C6:D6"/>
    <mergeCell ref="C5:D5"/>
    <mergeCell ref="E5:F5"/>
    <mergeCell ref="A12:F12"/>
    <mergeCell ref="G8:H8"/>
    <mergeCell ref="E8:F8"/>
    <mergeCell ref="A6:B6"/>
    <mergeCell ref="I5:K5"/>
    <mergeCell ref="I8:K8"/>
    <mergeCell ref="G6:H6"/>
    <mergeCell ref="C9:D9"/>
    <mergeCell ref="E9:F9"/>
    <mergeCell ref="A26:B26"/>
    <mergeCell ref="E6:F6"/>
    <mergeCell ref="I9:K9"/>
    <mergeCell ref="A5:B5"/>
    <mergeCell ref="G5:H5"/>
    <mergeCell ref="A8:B8"/>
    <mergeCell ref="C8:D8"/>
    <mergeCell ref="I6:K6"/>
    <mergeCell ref="A4:K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28" customWidth="1" min="5" max="5"/>
    <col width="26" customWidth="1" min="6" max="6"/>
    <col width="24" customWidth="1" min="7" max="7"/>
    <col width="30" customWidth="1" min="8" max="8"/>
    <col width="28" customWidth="1" min="9" max="9"/>
    <col width="30" customWidth="1" min="10" max="10"/>
    <col width="16" customWidth="1" min="11" max="11"/>
    <col width="26" customWidth="1" min="12" max="12"/>
    <col width="13" customWidth="1" min="13" max="13"/>
  </cols>
  <sheetData>
    <row r="1" ht="24" customHeight="1">
      <c r="A1" s="12" t="inlineStr">
        <is>
          <t>KNOWLEDGE BASE &amp; TECHNICAL DOCUMENT LIBRARY</t>
        </is>
      </c>
    </row>
    <row r="2" ht="18" customHeight="1">
      <c r="A2" s="2" t="inlineStr">
        <is>
          <t>Structured Index of Architecture Blueprints, Research Paper Notes, Code Snippets, and Technical Reference Documents</t>
        </is>
      </c>
    </row>
    <row r="4" ht="28" customHeight="1">
      <c r="A4" s="13" t="inlineStr">
        <is>
          <t>Document ID</t>
        </is>
      </c>
      <c r="B4" s="13" t="inlineStr">
        <is>
          <t>Date</t>
        </is>
      </c>
      <c r="C4" s="13" t="inlineStr">
        <is>
          <t>Topic</t>
        </is>
      </c>
      <c r="D4" s="13" t="inlineStr">
        <is>
          <t>Document Type</t>
        </is>
      </c>
      <c r="E4" s="13" t="inlineStr">
        <is>
          <t>Title</t>
        </is>
      </c>
      <c r="F4" s="13" t="inlineStr">
        <is>
          <t>Local File Path</t>
        </is>
      </c>
      <c r="G4" s="13" t="inlineStr">
        <is>
          <t>URL / Reference</t>
        </is>
      </c>
      <c r="H4" s="13" t="inlineStr">
        <is>
          <t>Summary</t>
        </is>
      </c>
      <c r="I4" s="13" t="inlineStr">
        <is>
          <t>Key Concepts</t>
        </is>
      </c>
      <c r="J4" s="13" t="inlineStr">
        <is>
          <t>Code Examples / Snippets</t>
        </is>
      </c>
      <c r="K4" s="13" t="inlineStr">
        <is>
          <t>Related Project</t>
        </is>
      </c>
      <c r="L4" s="13" t="inlineStr">
        <is>
          <t>Questions to Research</t>
        </is>
      </c>
      <c r="M4" s="13" t="inlineStr">
        <is>
          <t>Next Review Date</t>
        </is>
      </c>
    </row>
    <row r="5" ht="45" customHeight="1">
      <c r="A5" s="14" t="inlineStr">
        <is>
          <t>DOC-001</t>
        </is>
      </c>
      <c r="B5" s="17" t="inlineStr">
        <is>
          <t>2026-11-04</t>
        </is>
      </c>
      <c r="C5" s="16" t="inlineStr">
        <is>
          <t>Python / Architecture</t>
        </is>
      </c>
      <c r="D5" s="14" t="inlineStr">
        <is>
          <t>Architecture Decision</t>
        </is>
      </c>
      <c r="E5" s="15" t="inlineStr">
        <is>
          <t>Pydantic V2 State Representation Pattern for Agents</t>
        </is>
      </c>
      <c r="F5" s="16" t="inlineStr">
        <is>
          <t>docs/architecture/adr_001_pydantic_state.md</t>
        </is>
      </c>
      <c r="G5" s="27" t="inlineStr">
        <is>
          <t>https://docs.pydantic.dev/latest/</t>
        </is>
      </c>
      <c r="H5" s="16" t="inlineStr">
        <is>
          <t>Standardized protocol for agent state dictionaries using typed Pydantic models with field validation.</t>
        </is>
      </c>
      <c r="I5" s="16" t="inlineStr">
        <is>
          <t>Immutable state snapshots, TypeAdapter, Field constraints, model_dump(mode='json').</t>
        </is>
      </c>
      <c r="J5" s="16" t="inlineStr">
        <is>
          <t>class AgentState(BaseModel):
  messages: list[ChatMessage]
  bant_score: int = Field(ge=0, le=100)
  current_step: str</t>
        </is>
      </c>
      <c r="K5" s="14" t="inlineStr">
        <is>
          <t>PRJ-005, PRJ-006</t>
        </is>
      </c>
      <c r="L5" s="16" t="inlineStr">
        <is>
          <t>Performance difference between Pydantic validation and raw TypedDict in high-throughput loops?</t>
        </is>
      </c>
      <c r="M5" s="17" t="inlineStr">
        <is>
          <t>2026-12-01</t>
        </is>
      </c>
    </row>
    <row r="6" ht="45" customHeight="1">
      <c r="A6" s="19" t="inlineStr">
        <is>
          <t>DOC-002</t>
        </is>
      </c>
      <c r="B6" s="22" t="inlineStr">
        <is>
          <t>2026-11-10</t>
        </is>
      </c>
      <c r="C6" s="21" t="inlineStr">
        <is>
          <t>Mathematics</t>
        </is>
      </c>
      <c r="D6" s="19" t="inlineStr">
        <is>
          <t>Cheat Sheet</t>
        </is>
      </c>
      <c r="E6" s="20" t="inlineStr">
        <is>
          <t>Vector Math &amp; Dot Product Formulas for AI Engineers</t>
        </is>
      </c>
      <c r="F6" s="21" t="inlineStr">
        <is>
          <t>notes/math/vector_math_cheatsheet.md</t>
        </is>
      </c>
      <c r="G6" s="31" t="inlineStr">
        <is>
          <t>https://3blue1brown.com</t>
        </is>
      </c>
      <c r="H6" s="21" t="inlineStr">
        <is>
          <t>Complete mathematical formulas for Euclidean distance, Dot Product, Cosine Similarity, and Matrix Transpose.</t>
        </is>
      </c>
      <c r="I6" s="21" t="inlineStr">
        <is>
          <t>u . v = ||u|| ||v|| cos(theta); Cosine similarity range [-1, 1]; L2 normalization.</t>
        </is>
      </c>
      <c r="J6" s="21" t="inlineStr">
        <is>
          <t>def cosine_sim(a, b):
  return np.dot(a, b) / (np.linalg.norm(a) * np.linalg.norm(b))</t>
        </is>
      </c>
      <c r="K6" s="19" t="inlineStr">
        <is>
          <t>PRJ-004</t>
        </is>
      </c>
      <c r="L6" s="21" t="inlineStr">
        <is>
          <t>How does floating point rounding error affect cosine similarity on 1536-dimensional vectors?</t>
        </is>
      </c>
      <c r="M6" s="22" t="inlineStr">
        <is>
          <t>2026-12-15</t>
        </is>
      </c>
    </row>
    <row r="7" ht="45" customHeight="1">
      <c r="A7" s="14" t="inlineStr">
        <is>
          <t>DOC-003</t>
        </is>
      </c>
      <c r="B7" s="17" t="inlineStr">
        <is>
          <t>2026-12-15</t>
        </is>
      </c>
      <c r="C7" s="16" t="inlineStr">
        <is>
          <t>Machine Learning</t>
        </is>
      </c>
      <c r="D7" s="14" t="inlineStr">
        <is>
          <t>Experiment Report</t>
        </is>
      </c>
      <c r="E7" s="15" t="inlineStr">
        <is>
          <t>Class Imbalance Handling Strategies in B2B Lead Conversion</t>
        </is>
      </c>
      <c r="F7" s="16" t="inlineStr">
        <is>
          <t>experiments/reports/imbalance_lead_conversion.md</t>
        </is>
      </c>
      <c r="G7" s="27" t="inlineStr">
        <is>
          <t>https://scikit-learn.org</t>
        </is>
      </c>
      <c r="H7" s="16" t="inlineStr">
        <is>
          <t>Empirical comparison of SMOTE oversampling vs Balanced Random Forest vs class_weight='balanced'.</t>
        </is>
      </c>
      <c r="I7" s="16" t="inlineStr">
        <is>
          <t>Precision-recall trade-off; Cost-sensitive matrix: Missing a $10k deal costs 50x more than an unnecessary sales call.</t>
        </is>
      </c>
      <c r="J7" s="16" t="inlineStr">
        <is>
          <t>clf = RandomForestClassifier(class_weight={0: 1, 1: 25}, random_state=42)</t>
        </is>
      </c>
      <c r="K7" s="14" t="inlineStr">
        <is>
          <t>PRJ-002</t>
        </is>
      </c>
      <c r="L7" s="16" t="inlineStr">
        <is>
          <t>What is the optimal classification threshold when sales rep capacity is limited to 20 calls/day?</t>
        </is>
      </c>
      <c r="M7" s="17" t="inlineStr">
        <is>
          <t>2027-01-10</t>
        </is>
      </c>
    </row>
    <row r="8" ht="45" customHeight="1">
      <c r="A8" s="19" t="inlineStr">
        <is>
          <t>DOC-004</t>
        </is>
      </c>
      <c r="B8" s="22" t="inlineStr">
        <is>
          <t>2027-01-20</t>
        </is>
      </c>
      <c r="C8" s="21" t="inlineStr">
        <is>
          <t>Deep Learning</t>
        </is>
      </c>
      <c r="D8" s="19" t="inlineStr">
        <is>
          <t>Paper Summary</t>
        </is>
      </c>
      <c r="E8" s="20" t="inlineStr">
        <is>
          <t>Summary: Attention Is All You Need (Vaswani et al. 2017)</t>
        </is>
      </c>
      <c r="F8" s="21" t="inlineStr">
        <is>
          <t>notes/papers/attention_is_all_you_need_summary.md</t>
        </is>
      </c>
      <c r="G8" s="31" t="inlineStr">
        <is>
          <t>https://arxiv.org/abs/1706.03762</t>
        </is>
      </c>
      <c r="H8" s="21" t="inlineStr">
        <is>
          <t>Deconstruction of self-attention mechanisms, multi-head attention, positional encoding, and layer normalization.</t>
        </is>
      </c>
      <c r="I8" s="21" t="inlineStr">
        <is>
          <t>Queries, Keys, Values; Scaled dot product avoids vanishing gradients when d_k is large; Parallel training vs RNN sequential bottleneck.</t>
        </is>
      </c>
      <c r="J8" s="21" t="inlineStr">
        <is>
          <t>def attention(q, k, v, mask=None):
  scores = (q @ k.transpose(-2, -1)) / math.sqrt(q.size(-1))
  if mask: scores.masked_fill_(mask == 0, -1e9)
  return F.softmax(scores, dim=-1) @ v</t>
        </is>
      </c>
      <c r="K8" s="19" t="inlineStr">
        <is>
          <t>PRJ-003</t>
        </is>
      </c>
      <c r="L8" s="21" t="inlineStr">
        <is>
          <t>Why did modern LLMs switch from Post-LN (original paper) to Pre-LN or RMSNorm?</t>
        </is>
      </c>
      <c r="M8" s="22" t="inlineStr">
        <is>
          <t>2027-02-15</t>
        </is>
      </c>
    </row>
    <row r="9" ht="45" customHeight="1">
      <c r="A9" s="14" t="inlineStr">
        <is>
          <t>DOC-005</t>
        </is>
      </c>
      <c r="B9" s="17" t="inlineStr">
        <is>
          <t>2027-03-05</t>
        </is>
      </c>
      <c r="C9" s="16" t="inlineStr">
        <is>
          <t>Prompting</t>
        </is>
      </c>
      <c r="D9" s="14" t="inlineStr">
        <is>
          <t>Code Snippet</t>
        </is>
      </c>
      <c r="E9" s="15" t="inlineStr">
        <is>
          <t>Production Structured Output Extraction with OpenAI SDK</t>
        </is>
      </c>
      <c r="F9" s="16" t="inlineStr">
        <is>
          <t>snippets/llm/structured_output_helper.py</t>
        </is>
      </c>
      <c r="G9" s="27" t="inlineStr">
        <is>
          <t>https://platform.openai.com/docs/guides/structured-outputs</t>
        </is>
      </c>
      <c r="H9" s="16" t="inlineStr">
        <is>
          <t>Production-ready wrapper enforcing strict JSON schema adherence with automatic Pydantic parsing.</t>
        </is>
      </c>
      <c r="I9" s="16" t="inlineStr">
        <is>
          <t>response_format=PydanticModel, strict=True, system message conditioning, temperature=0.0 for zero extraction variance.</t>
        </is>
      </c>
      <c r="J9" s="16" t="inlineStr">
        <is>
          <t>completion = client.beta.chat.completions.parse(
  model='gpt-4o-mini',
  messages=[{'role': 'user', 'content': text}],
  response_format=BANTLeadScore
)</t>
        </is>
      </c>
      <c r="K9" s="14" t="inlineStr">
        <is>
          <t>PRJ-005, PRJ-006</t>
        </is>
      </c>
      <c r="L9" s="16" t="inlineStr">
        <is>
          <t>What is the token overhead of OpenAI's strict JSON schema constrained decoding?</t>
        </is>
      </c>
      <c r="M9" s="17" t="inlineStr">
        <is>
          <t>2027-04-01</t>
        </is>
      </c>
    </row>
    <row r="10" ht="45" customHeight="1">
      <c r="A10" s="19" t="inlineStr">
        <is>
          <t>DOC-006</t>
        </is>
      </c>
      <c r="B10" s="22" t="inlineStr">
        <is>
          <t>2027-04-15</t>
        </is>
      </c>
      <c r="C10" s="21" t="inlineStr">
        <is>
          <t>RAG</t>
        </is>
      </c>
      <c r="D10" s="19" t="inlineStr">
        <is>
          <t>Architecture Decision</t>
        </is>
      </c>
      <c r="E10" s="20" t="inlineStr">
        <is>
          <t>Enterprise Hybrid Search Architecture with PostgreSQL pgvector</t>
        </is>
      </c>
      <c r="F10" s="21" t="inlineStr">
        <is>
          <t>docs/architecture/adr_002_pgvector_hybrid_search.md</t>
        </is>
      </c>
      <c r="G10" s="31" t="inlineStr">
        <is>
          <t>https://github.com/pgvector/pgvector</t>
        </is>
      </c>
      <c r="H10" s="21" t="inlineStr">
        <is>
          <t>Combining PostgreSQL full-text search (tsvector/BM25) with dense vector HNSW cosine similarity in a single query.</t>
        </is>
      </c>
      <c r="I10" s="21" t="inlineStr">
        <is>
          <t>Reciprocal Rank Fusion (RRF), HNSW indexing parameters (m=16, ef_construction=64), single-database operational simplicity.</t>
        </is>
      </c>
      <c r="J10" s="21" t="inlineStr">
        <is>
          <t>SELECT id, content, (0.7 * (1 - (embedding &lt;=&gt; query_vector)) + 0.3 * ts_rank_cd(textsearch, query)) AS score FROM product_docs ORDER BY score DESC LIMIT 5;</t>
        </is>
      </c>
      <c r="K10" s="19" t="inlineStr">
        <is>
          <t>PRJ-004</t>
        </is>
      </c>
      <c r="L10" s="21" t="inlineStr">
        <is>
          <t>How often must HNSW index be rebuilt when adding 1,000 new product catalog rows per day?</t>
        </is>
      </c>
      <c r="M10" s="22" t="inlineStr">
        <is>
          <t>2027-05-01</t>
        </is>
      </c>
    </row>
    <row r="11" ht="45" customHeight="1">
      <c r="A11" s="14" t="inlineStr">
        <is>
          <t>DOC-007</t>
        </is>
      </c>
      <c r="B11" s="17" t="inlineStr">
        <is>
          <t>2027-05-15</t>
        </is>
      </c>
      <c r="C11" s="16" t="inlineStr">
        <is>
          <t>AI Agents</t>
        </is>
      </c>
      <c r="D11" s="14" t="inlineStr">
        <is>
          <t>Cheat Sheet</t>
        </is>
      </c>
      <c r="E11" s="15" t="inlineStr">
        <is>
          <t>ReAct Loop Pattern: State Machine vs Free-Form Loop</t>
        </is>
      </c>
      <c r="F11" s="16" t="inlineStr">
        <is>
          <t>notes/agents/react_loop_patterns.md</t>
        </is>
      </c>
      <c r="G11" s="27" t="inlineStr">
        <is>
          <t>https://langchain-ai.github.io/langgraph/</t>
        </is>
      </c>
      <c r="H11" s="16" t="inlineStr">
        <is>
          <t>Comparison of unconstrained while-loop ReAct vs deterministic state machine graphs for business automation.</t>
        </is>
      </c>
      <c r="I11" s="16" t="inlineStr">
        <is>
          <t>Deterministic State Graphs prevent infinite loops, enable persistent checkpoints, and simplify human-in-the-loop gates.</t>
        </is>
      </c>
      <c r="J11" s="16" t="inlineStr">
        <is>
          <t>workflow = StateGraph(SalesState)
workflow.add_node('qualify', qualify_node)
workflow.add_conditional_edges('qualify', route_lead)</t>
        </is>
      </c>
      <c r="K11" s="14" t="inlineStr">
        <is>
          <t>PRJ-006, PRJ-007</t>
        </is>
      </c>
      <c r="L11" s="16" t="inlineStr">
        <is>
          <t>How to dynamically inject user interruptions into an active agent multi-tool reasoning sequence?</t>
        </is>
      </c>
      <c r="M11" s="17" t="inlineStr">
        <is>
          <t>2027-06-01</t>
        </is>
      </c>
    </row>
    <row r="12" ht="45" customHeight="1">
      <c r="A12" s="19" t="inlineStr">
        <is>
          <t>DOC-008</t>
        </is>
      </c>
      <c r="B12" s="22" t="inlineStr">
        <is>
          <t>2027-06-20</t>
        </is>
      </c>
      <c r="C12" s="21" t="inlineStr">
        <is>
          <t>AI Agents</t>
        </is>
      </c>
      <c r="D12" s="19" t="inlineStr">
        <is>
          <t>Architecture Decision</t>
        </is>
      </c>
      <c r="E12" s="20" t="inlineStr">
        <is>
          <t>Autonomous Negotiation Guardrails &amp; Concession Curves</t>
        </is>
      </c>
      <c r="F12" s="21" t="inlineStr">
        <is>
          <t>docs/architecture/adr_003_negotiation_guardrails.md</t>
        </is>
      </c>
      <c r="G12" s="31" t="inlineStr">
        <is>
          <t>https://github.com/tasim/sales-agent</t>
        </is>
      </c>
      <c r="H12" s="21" t="inlineStr">
        <is>
          <t>Strict deterministic rules preventing autonomous AI sales reps from violating pricing floors.</t>
        </is>
      </c>
      <c r="I12" s="21" t="inlineStr">
        <is>
          <t>Hard concession ceilings (max 15% discount), margin validation, manager approval interrupts, audit trail logging.</t>
        </is>
      </c>
      <c r="J12" s="21" t="inlineStr">
        <is>
          <t>def calculate_discount(margin, requested):
  if requested &gt; 0.15: return trigger_human_review()
  return min(requested, margin * 0.4)</t>
        </is>
      </c>
      <c r="K12" s="19" t="inlineStr">
        <is>
          <t>PRJ-008</t>
        </is>
      </c>
      <c r="L12" s="21" t="inlineStr">
        <is>
          <t>What fallback copy should the agent say when customer insists on a 25% discount?</t>
        </is>
      </c>
      <c r="M12" s="22" t="inlineStr">
        <is>
          <t>2027-07-15</t>
        </is>
      </c>
    </row>
    <row r="13" ht="45" customHeight="1">
      <c r="A13" s="14" t="inlineStr">
        <is>
          <t>DOC-009</t>
        </is>
      </c>
      <c r="B13" s="17" t="inlineStr">
        <is>
          <t>2027-08-25</t>
        </is>
      </c>
      <c r="C13" s="16" t="inlineStr">
        <is>
          <t>Fine-Tuning</t>
        </is>
      </c>
      <c r="D13" s="14" t="inlineStr">
        <is>
          <t>Experiment Report</t>
        </is>
      </c>
      <c r="E13" s="15" t="inlineStr">
        <is>
          <t>LoRA Rank (r) &amp; Alpha Optimization for Objection Handling</t>
        </is>
      </c>
      <c r="F13" s="16" t="inlineStr">
        <is>
          <t>experiments/reports/lora_rank_hyperparameters.md</t>
        </is>
      </c>
      <c r="G13" s="27" t="inlineStr">
        <is>
          <t>https://github.com/unslothai/unsloth</t>
        </is>
      </c>
      <c r="H13" s="16" t="inlineStr">
        <is>
          <t>Benchmarked r=8, r=16, r=32 across 300 sales objection training pairs on Llama-3-8B.</t>
        </is>
      </c>
      <c r="I13" s="16" t="inlineStr">
        <is>
          <t>r=16 with alpha=32 provided optimal balance of style adaptation and zero catastrophic forgetting of factual knowledge.</t>
        </is>
      </c>
      <c r="J13" s="16" t="inlineStr">
        <is>
          <t>peft_config = LoraConfig(r=16, lora_alpha=32, target_modules=['q_proj', 'k_proj', 'v_proj', 'o_proj'])</t>
        </is>
      </c>
      <c r="K13" s="14" t="inlineStr">
        <is>
          <t>PRJ-009</t>
        </is>
      </c>
      <c r="L13" s="16" t="inlineStr">
        <is>
          <t>Does QLoRA 4-bit quantization affect conversational nuance in consultative sales?</t>
        </is>
      </c>
      <c r="M13" s="17" t="inlineStr">
        <is>
          <t>2027-09-15</t>
        </is>
      </c>
    </row>
    <row r="14" ht="45" customHeight="1">
      <c r="A14" s="19" t="inlineStr">
        <is>
          <t>DOC-010</t>
        </is>
      </c>
      <c r="B14" s="22" t="inlineStr">
        <is>
          <t>2027-09-25</t>
        </is>
      </c>
      <c r="C14" s="21" t="inlineStr">
        <is>
          <t>Production</t>
        </is>
      </c>
      <c r="D14" s="19" t="inlineStr">
        <is>
          <t>Cheat Sheet</t>
        </is>
      </c>
      <c r="E14" s="20" t="inlineStr">
        <is>
          <t>OWASP Top 10 for LLMs: Defensive Implementation Checklist</t>
        </is>
      </c>
      <c r="F14" s="21" t="inlineStr">
        <is>
          <t>notes/security/owasp_llm_defenses.md</t>
        </is>
      </c>
      <c r="G14" s="31" t="inlineStr">
        <is>
          <t>https://owasp.org</t>
        </is>
      </c>
      <c r="H14" s="21" t="inlineStr">
        <is>
          <t>Tactical defensive rules: System prompt boundary tags, tool parameter regex sanitization, output guardrails.</t>
        </is>
      </c>
      <c r="I14" s="21" t="inlineStr">
        <is>
          <t>LLM01 Prompt Injection, LLM02 Insecure Output, LLM06 Excessive Agency, LLM08 Denial of Service.</t>
        </is>
      </c>
      <c r="J14" s="21" t="inlineStr">
        <is>
          <t>def sanitize_input(user_prompt: str) -&gt; str:
  if any(w in user_prompt.lower() for w in ['ignore previous instructions', 'system override']):
    raise SecurityException('Suspicious prompt pattern detected')</t>
        </is>
      </c>
      <c r="K14" s="19" t="inlineStr">
        <is>
          <t>PRJ-010</t>
        </is>
      </c>
      <c r="L14" s="21" t="inlineStr">
        <is>
          <t>How to defend against indirect prompt injection hidden inside customer-submitted website links?</t>
        </is>
      </c>
      <c r="M14" s="22" t="inlineStr">
        <is>
          <t>2027-10-15</t>
        </is>
      </c>
    </row>
  </sheetData>
  <autoFilter ref="A4:M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2" customWidth="1" min="4" max="4"/>
    <col width="20" customWidth="1" min="5" max="5"/>
    <col width="24" customWidth="1" min="6" max="6"/>
    <col width="22" customWidth="1" min="7" max="7"/>
    <col width="25" customWidth="1" min="8" max="8"/>
    <col width="24" customWidth="1" min="9" max="9"/>
    <col width="22" customWidth="1" min="10" max="10"/>
    <col width="14" customWidth="1" min="11" max="11"/>
    <col width="14" customWidth="1" min="12" max="12"/>
    <col width="18" customWidth="1" min="13" max="13"/>
    <col width="28" customWidth="1" min="14" max="14"/>
    <col width="25" customWidth="1" min="15" max="15"/>
    <col width="28" customWidth="1" min="16" max="16"/>
    <col width="28" customWidth="1" min="17" max="17"/>
  </cols>
  <sheetData>
    <row r="1" ht="24" customHeight="1">
      <c r="A1" s="12" t="inlineStr">
        <is>
          <t>SCIENTIFIC AI EXPERIMENT &amp; BENCHMARK LOG</t>
        </is>
      </c>
    </row>
    <row r="2" ht="18" customHeight="1">
      <c r="A2" s="2" t="inlineStr">
        <is>
          <t>Rigorous Measurement of Prompts, Hyperparameters, Latency, Token Costs, Tool Calling Accuracy &amp; Failure Modes</t>
        </is>
      </c>
    </row>
    <row r="4" ht="28" customHeight="1">
      <c r="A4" s="13" t="inlineStr">
        <is>
          <t>Experiment ID</t>
        </is>
      </c>
      <c r="B4" s="13" t="inlineStr">
        <is>
          <t>Date</t>
        </is>
      </c>
      <c r="C4" s="13" t="inlineStr">
        <is>
          <t>Research Question / Hypothesis</t>
        </is>
      </c>
      <c r="D4" s="13" t="inlineStr">
        <is>
          <t>Model / Provider</t>
        </is>
      </c>
      <c r="E4" s="13" t="inlineStr">
        <is>
          <t>Model Version</t>
        </is>
      </c>
      <c r="F4" s="13" t="inlineStr">
        <is>
          <t>Dataset / Test Suite</t>
        </is>
      </c>
      <c r="G4" s="13" t="inlineStr">
        <is>
          <t>Prompt / Config Version</t>
        </is>
      </c>
      <c r="H4" s="13" t="inlineStr">
        <is>
          <t>Parameters</t>
        </is>
      </c>
      <c r="I4" s="13" t="inlineStr">
        <is>
          <t>Evaluation Benchmark</t>
        </is>
      </c>
      <c r="J4" s="13" t="inlineStr">
        <is>
          <t>Primary Metric</t>
        </is>
      </c>
      <c r="K4" s="13" t="inlineStr">
        <is>
          <t>Latency (ms)</t>
        </is>
      </c>
      <c r="L4" s="13" t="inlineStr">
        <is>
          <t>Cost / Run ($)</t>
        </is>
      </c>
      <c r="M4" s="13" t="inlineStr">
        <is>
          <t>Compute / VRAM</t>
        </is>
      </c>
      <c r="N4" s="13" t="inlineStr">
        <is>
          <t>Failure Cases Observed</t>
        </is>
      </c>
      <c r="O4" s="13" t="inlineStr">
        <is>
          <t>Comparison Baseline</t>
        </is>
      </c>
      <c r="P4" s="13" t="inlineStr">
        <is>
          <t>Conclusion &amp; Key Takeaway</t>
        </is>
      </c>
      <c r="Q4" s="13" t="inlineStr">
        <is>
          <t>Next Experiment &amp; Link</t>
        </is>
      </c>
    </row>
    <row r="5" ht="45" customHeight="1">
      <c r="A5" s="14" t="inlineStr">
        <is>
          <t>EXP-001</t>
        </is>
      </c>
      <c r="B5" s="17" t="inlineStr">
        <is>
          <t>2026-12-18</t>
        </is>
      </c>
      <c r="C5" s="16" t="inlineStr">
        <is>
          <t>Does XGBoost with tuned hyperparams outperform Random Forest on B2B lead conversion?</t>
        </is>
      </c>
      <c r="D5" s="14" t="inlineStr">
        <is>
          <t>XGBoost vs Scikit-Learn RF</t>
        </is>
      </c>
      <c r="E5" s="16" t="inlineStr">
        <is>
          <t>xgboost v2.0.3, sklearn v1.4</t>
        </is>
      </c>
      <c r="F5" s="16" t="inlineStr">
        <is>
          <t>10,000 anonymized SaaS CRM records</t>
        </is>
      </c>
      <c r="G5" s="16" t="inlineStr">
        <is>
          <t>v1.0 (5-fold stratified CV)</t>
        </is>
      </c>
      <c r="H5" s="16" t="inlineStr">
        <is>
          <t>n_estimators=300, max_depth=5, lr=0.05, subsample=0.8</t>
        </is>
      </c>
      <c r="I5" s="16" t="inlineStr">
        <is>
          <t>Held-out test set (2,000 records)</t>
        </is>
      </c>
      <c r="J5" s="14" t="inlineStr">
        <is>
          <t>ROC-AUC: 0.864 vs 0.821</t>
        </is>
      </c>
      <c r="K5" s="57" t="inlineStr">
        <is>
          <t>145 ms (inference 100 rows)</t>
        </is>
      </c>
      <c r="L5" s="57" t="inlineStr">
        <is>
          <t>$0.00</t>
        </is>
      </c>
      <c r="M5" s="16" t="inlineStr">
        <is>
          <t>CPU 4 cores, 1.2 GB RAM</t>
        </is>
      </c>
      <c r="N5" s="16" t="inlineStr">
        <is>
          <t>Slight drop in recall on newly founded startups (&lt; 6 months operating history).</t>
        </is>
      </c>
      <c r="O5" s="16" t="inlineStr">
        <is>
          <t>Scikit-Learn baseline RandomForest (AUC: 0.821)</t>
        </is>
      </c>
      <c r="P5" s="16" t="inlineStr">
        <is>
          <t>XGBoost improved ROC-AUC by 4.3 percentage points and inference was 2.5x faster.</t>
        </is>
      </c>
      <c r="Q5" s="16" t="inlineStr">
        <is>
          <t>EXP-002: Add interaction terms between website visits and company headcount.</t>
        </is>
      </c>
    </row>
    <row r="6" ht="45" customHeight="1">
      <c r="A6" s="19" t="inlineStr">
        <is>
          <t>EXP-002</t>
        </is>
      </c>
      <c r="B6" s="22" t="inlineStr">
        <is>
          <t>2027-01-22</t>
        </is>
      </c>
      <c r="C6" s="21" t="inlineStr">
        <is>
          <t>Can PyTorch MLP match XGBoost accuracy on tabular CRM data with learned categorical embeddings?</t>
        </is>
      </c>
      <c r="D6" s="19" t="inlineStr">
        <is>
          <t>PyTorch Tabular MLP</t>
        </is>
      </c>
      <c r="E6" s="21" t="inlineStr">
        <is>
          <t>PyTorch 2.2 CUDA 12.1</t>
        </is>
      </c>
      <c r="F6" s="21" t="inlineStr">
        <is>
          <t>10,000 SaaS CRM records with 4 categorical features</t>
        </is>
      </c>
      <c r="G6" s="21" t="inlineStr">
        <is>
          <t>TabularNet v1.2</t>
        </is>
      </c>
      <c r="H6" s="21" t="inlineStr">
        <is>
          <t>Embedding dim=16, 2 hidden layers (128, 64), AdamW lr=1e-3, batch=64</t>
        </is>
      </c>
      <c r="I6" s="21" t="inlineStr">
        <is>
          <t>Held-out test set (2,000 records)</t>
        </is>
      </c>
      <c r="J6" s="19" t="inlineStr">
        <is>
          <t>ROC-AUC: 0.835 vs 0.864</t>
        </is>
      </c>
      <c r="K6" s="58" t="inlineStr">
        <is>
          <t>85 ms (GPU batch)</t>
        </is>
      </c>
      <c r="L6" s="58" t="inlineStr">
        <is>
          <t>$0.00</t>
        </is>
      </c>
      <c r="M6" s="21" t="inlineStr">
        <is>
          <t>GPU RTX 3080, 800 MB VRAM</t>
        </is>
      </c>
      <c r="N6" s="21" t="inlineStr">
        <is>
          <t>Overfits faster than tree ensembles on sparse industry categories with low sample count.</t>
        </is>
      </c>
      <c r="O6" s="21" t="inlineStr">
        <is>
          <t>XGBoost baseline from EXP-001 (AUC: 0.864)</t>
        </is>
      </c>
      <c r="P6" s="21" t="inlineStr">
        <is>
          <t>XGBoost remains superior on purely tabular CRM data; deep learning requires 10x more data.</t>
        </is>
      </c>
      <c r="Q6" s="21" t="inlineStr">
        <is>
          <t>EXP-003: Focus deep learning on text message intent classification where it excels.</t>
        </is>
      </c>
    </row>
    <row r="7" ht="45" customHeight="1">
      <c r="A7" s="14" t="inlineStr">
        <is>
          <t>EXP-003</t>
        </is>
      </c>
      <c r="B7" s="17" t="inlineStr">
        <is>
          <t>2027-03-05</t>
        </is>
      </c>
      <c r="C7" s="16" t="inlineStr">
        <is>
          <t>Does OpenAI native Structured Outputs eliminate malformed JSON errors compared to zero-shot prompting?</t>
        </is>
      </c>
      <c r="D7" s="14" t="inlineStr">
        <is>
          <t>OpenAI GPT-4o-mini</t>
        </is>
      </c>
      <c r="E7" s="16" t="inlineStr">
        <is>
          <t>gpt-4o-mini-2024-07-18</t>
        </is>
      </c>
      <c r="F7" s="16" t="inlineStr">
        <is>
          <t>100 complex, messy sales call transcripts</t>
        </is>
      </c>
      <c r="G7" s="16" t="inlineStr">
        <is>
          <t>Prompt v2.1 with Pydantic BANT schema</t>
        </is>
      </c>
      <c r="H7" s="16" t="inlineStr">
        <is>
          <t>temperature=0.0, response_format=PydanticModel, max_tokens=1000</t>
        </is>
      </c>
      <c r="I7" s="16" t="inlineStr">
        <is>
          <t>100 transcript test suite</t>
        </is>
      </c>
      <c r="J7" s="14" t="inlineStr">
        <is>
          <t>Schema Validity: 100% vs 87%</t>
        </is>
      </c>
      <c r="K7" s="57" t="inlineStr">
        <is>
          <t>820 ms avg</t>
        </is>
      </c>
      <c r="L7" s="57" t="inlineStr">
        <is>
          <t>$0.00042 / call</t>
        </is>
      </c>
      <c r="M7" s="16" t="inlineStr">
        <is>
          <t>Cloud API</t>
        </is>
      </c>
      <c r="N7" s="16" t="inlineStr">
        <is>
          <t>Zero schema failures with native structured outputs. Zero-shot baseline failed on nested arrays.</t>
        </is>
      </c>
      <c r="O7" s="16" t="inlineStr">
        <is>
          <t>Zero-shot prompting with markdown ```json codeblocks</t>
        </is>
      </c>
      <c r="P7" s="16" t="inlineStr">
        <is>
          <t>Native Structured Outputs guarantees 100% schema compliance and completely eliminates retry loops.</t>
        </is>
      </c>
      <c r="Q7" s="16" t="inlineStr">
        <is>
          <t>EXP-004: Test extraction latency and cost between GPT-4o-mini and Gemini-1.5-Flash.</t>
        </is>
      </c>
    </row>
    <row r="8" ht="45" customHeight="1">
      <c r="A8" s="19" t="inlineStr">
        <is>
          <t>EXP-004</t>
        </is>
      </c>
      <c r="B8" s="22" t="inlineStr">
        <is>
          <t>2027-03-12</t>
        </is>
      </c>
      <c r="C8" s="21" t="inlineStr">
        <is>
          <t>Cost &amp; Latency comparison: GPT-4o-mini vs Gemini-1.5-Flash for real-time lead qualification.</t>
        </is>
      </c>
      <c r="D8" s="19" t="inlineStr">
        <is>
          <t>GPT-4o-mini vs Gemini-1.5-Flash</t>
        </is>
      </c>
      <c r="E8" s="21" t="inlineStr">
        <is>
          <t>gpt-4o-mini vs gemini-1.5-flash-001</t>
        </is>
      </c>
      <c r="F8" s="21" t="inlineStr">
        <is>
          <t>50 customer chat dialogue transcripts</t>
        </is>
      </c>
      <c r="G8" s="21" t="inlineStr">
        <is>
          <t>Standardized qualification prompt v3.0</t>
        </is>
      </c>
      <c r="H8" s="21" t="inlineStr">
        <is>
          <t>temp=0.0, strict structured JSON output mode</t>
        </is>
      </c>
      <c r="I8" s="21" t="inlineStr">
        <is>
          <t>50 multi-turn test dialogues</t>
        </is>
      </c>
      <c r="J8" s="19" t="inlineStr">
        <is>
          <t>F1 on BANT extraction: 0.92 vs 0.90</t>
        </is>
      </c>
      <c r="K8" s="58" t="inlineStr">
        <is>
          <t>GPT-4o-mini: 680ms | Gemini: 420ms</t>
        </is>
      </c>
      <c r="L8" s="58" t="inlineStr">
        <is>
          <t>GPT: $0.00038 | Gemini: $0.00018</t>
        </is>
      </c>
      <c r="M8" s="21" t="inlineStr">
        <is>
          <t>Cloud API</t>
        </is>
      </c>
      <c r="N8" s="21" t="inlineStr">
        <is>
          <t>Gemini-1.5-Flash was occasionally too conservative on extracting numeric budget values.</t>
        </is>
      </c>
      <c r="O8" s="21" t="inlineStr">
        <is>
          <t>GPT-4o-mini baseline</t>
        </is>
      </c>
      <c r="P8" s="21" t="inlineStr">
        <is>
          <t>Gemini-1.5-Flash is 38% faster and 52% cheaper, making it the ideal choice for high-volume chat webhooks.</t>
        </is>
      </c>
      <c r="Q8" s="21" t="inlineStr">
        <is>
          <t>EXP-005: Benchmark RAG chunk sizes for product catalog retrieval.</t>
        </is>
      </c>
    </row>
    <row r="9" ht="45" customHeight="1">
      <c r="A9" s="14" t="inlineStr">
        <is>
          <t>EXP-005</t>
        </is>
      </c>
      <c r="B9" s="17" t="inlineStr">
        <is>
          <t>2027-04-10</t>
        </is>
      </c>
      <c r="C9" s="16" t="inlineStr">
        <is>
          <t>What is the optimal chunk size (256 vs 512 vs 1024 tokens) for product specification retrieval?</t>
        </is>
      </c>
      <c r="D9" s="14" t="inlineStr">
        <is>
          <t>OpenAI text-embedding-3-small + pgvector</t>
        </is>
      </c>
      <c r="E9" s="16" t="inlineStr">
        <is>
          <t>text-embedding-3-small, dim=1536</t>
        </is>
      </c>
      <c r="F9" s="16" t="inlineStr">
        <is>
          <t>150-page enterprise software catalog &amp; pricing sheets</t>
        </is>
      </c>
      <c r="G9" s="16" t="inlineStr">
        <is>
          <t>RecursiveCharacterTextSplitter with overlap=10%</t>
        </is>
      </c>
      <c r="H9" s="16" t="inlineStr">
        <is>
          <t>Cosine similarity, top_k=5 retrieval</t>
        </is>
      </c>
      <c r="I9" s="16" t="inlineStr">
        <is>
          <t>50 synthetic product domain queries</t>
        </is>
      </c>
      <c r="J9" s="14" t="inlineStr">
        <is>
          <t>Recall@5: 256t: 74% | 512t: 91% | 1024t: 82%</t>
        </is>
      </c>
      <c r="K9" s="57" t="inlineStr">
        <is>
          <t>18 ms (PostgreSQL pgvector query)</t>
        </is>
      </c>
      <c r="L9" s="57" t="inlineStr">
        <is>
          <t>$0.00002 / query</t>
        </is>
      </c>
      <c r="M9" s="16" t="inlineStr">
        <is>
          <t>Local PostgreSQL container, 500 MB RAM</t>
        </is>
      </c>
      <c r="N9" s="16" t="inlineStr">
        <is>
          <t>256-token chunks fragmented pricing tables; 1024-token chunks diluted specific SKU keyword relevance.</t>
        </is>
      </c>
      <c r="O9" s="16" t="inlineStr">
        <is>
          <t>Naive 1000-character fixed chunking (Recall@5: 68%)</t>
        </is>
      </c>
      <c r="P9" s="16" t="inlineStr">
        <is>
          <t>512-token chunking with 50-token overlap yielded the highest retrieval accuracy (91% Recall@5).</t>
        </is>
      </c>
      <c r="Q9" s="16" t="inlineStr">
        <is>
          <t>EXP-006: Add BM25 hybrid search and cross-encoder reranking to 512-token chunks.</t>
        </is>
      </c>
    </row>
    <row r="10" ht="45" customHeight="1">
      <c r="A10" s="19" t="inlineStr">
        <is>
          <t>EXP-006</t>
        </is>
      </c>
      <c r="B10" s="22" t="inlineStr">
        <is>
          <t>2027-04-18</t>
        </is>
      </c>
      <c r="C10" s="21" t="inlineStr">
        <is>
          <t>Does Cross-Encoder reranking improve RAG retrieval accuracy on exact product part numbers?</t>
        </is>
      </c>
      <c r="D10" s="19" t="inlineStr">
        <is>
          <t>Cohere Rerank v3 vs Dense Cosine</t>
        </is>
      </c>
      <c r="E10" s="21" t="inlineStr">
        <is>
          <t>cohere/rerank-v3.5 + text-embedding-3-small</t>
        </is>
      </c>
      <c r="F10" s="21" t="inlineStr">
        <is>
          <t>Software catalog with 40 specific part numbers/SKUs</t>
        </is>
      </c>
      <c r="G10" s="21" t="inlineStr">
        <is>
          <t>Hybrid retrieval pipeline v2.0</t>
        </is>
      </c>
      <c r="H10" s="21" t="inlineStr">
        <is>
          <t>top_k_retrieve=20, top_n_rerank=5</t>
        </is>
      </c>
      <c r="I10" s="21" t="inlineStr">
        <is>
          <t>40 exact SKU and part number queries</t>
        </is>
      </c>
      <c r="J10" s="19" t="inlineStr">
        <is>
          <t>Top-1 Accuracy: 95% vs 72%</t>
        </is>
      </c>
      <c r="K10" s="58" t="inlineStr">
        <is>
          <t>120 ms (Dense: 22ms + Rerank: 98ms)</t>
        </is>
      </c>
      <c r="L10" s="58" t="inlineStr">
        <is>
          <t>$0.0012 / query</t>
        </is>
      </c>
      <c r="M10" s="21" t="inlineStr">
        <is>
          <t>API / Local container</t>
        </is>
      </c>
      <c r="N10" s="21" t="inlineStr">
        <is>
          <t>Minor latency increase (+98ms), well within interactive chat tolerance (&lt; 1.5s).</t>
        </is>
      </c>
      <c r="O10" s="21" t="inlineStr">
        <is>
          <t>Dense vector search alone (72% Top-1 Accuracy)</t>
        </is>
      </c>
      <c r="P10" s="21" t="inlineStr">
        <is>
          <t>Cross-Encoder reranking drastically improves retrieval on specific technical terms and part numbers.</t>
        </is>
      </c>
      <c r="Q10" s="21" t="inlineStr">
        <is>
          <t>EXP-007: Test tool calling reliability of Llama-3-8B locally vs GPT-4o-mini.</t>
        </is>
      </c>
    </row>
    <row r="11" ht="45" customHeight="1">
      <c r="A11" s="14" t="inlineStr">
        <is>
          <t>EXP-007</t>
        </is>
      </c>
      <c r="B11" s="17" t="inlineStr">
        <is>
          <t>2027-05-18</t>
        </is>
      </c>
      <c r="C11" s="16" t="inlineStr">
        <is>
          <t>Can local Llama-3-8B-Instruct reliably call 4 business tools without argument hallucination?</t>
        </is>
      </c>
      <c r="D11" s="14" t="inlineStr">
        <is>
          <t>Meta Llama-3-8B-Instruct (4-bit)</t>
        </is>
      </c>
      <c r="E11" s="16" t="inlineStr">
        <is>
          <t>Llama-3-8B-Instruct-GGUF (Q4_K_M) via Ollama</t>
        </is>
      </c>
      <c r="F11" s="16" t="inlineStr">
        <is>
          <t>50 multi-step tool execution scenarios</t>
        </is>
      </c>
      <c r="G11" s="16" t="inlineStr">
        <is>
          <t>ReAct tool prompt with JSON schema definitions</t>
        </is>
      </c>
      <c r="H11" s="16" t="inlineStr">
        <is>
          <t>temperature=0.1, max_tokens=512, top_p=0.9</t>
        </is>
      </c>
      <c r="I11" s="16" t="inlineStr">
        <is>
          <t>50 simulated tool-use test tasks</t>
        </is>
      </c>
      <c r="J11" s="14" t="inlineStr">
        <is>
          <t>Tool Call Accuracy: 84% vs 98% (GPT-4o-mini)</t>
        </is>
      </c>
      <c r="K11" s="57" t="inlineStr">
        <is>
          <t>1,450 ms (local RTX 3080)</t>
        </is>
      </c>
      <c r="L11" s="57" t="inlineStr">
        <is>
          <t>$0.00 (Self-hosted)</t>
        </is>
      </c>
      <c r="M11" s="16" t="inlineStr">
        <is>
          <t>6.2 GB VRAM on GPU</t>
        </is>
      </c>
      <c r="N11" s="16" t="inlineStr">
        <is>
          <t>Llama-3-8B sometimes hallucinated optional parameters or invoked non-existent tools when confused.</t>
        </is>
      </c>
      <c r="O11" s="16" t="inlineStr">
        <is>
          <t>GPT-4o-mini tool execution accuracy (98%)</t>
        </is>
      </c>
      <c r="P11" s="16" t="inlineStr">
        <is>
          <t>Llama-3-8B is viable for single-tool tasks, but multi-tool agentic planning still requires frontier APIs.</t>
        </is>
      </c>
      <c r="Q11" s="16" t="inlineStr">
        <is>
          <t>EXP-008: Test system prompt defenses against adversarial discount extraction attacks.</t>
        </is>
      </c>
    </row>
    <row r="12" ht="45" customHeight="1">
      <c r="A12" s="19" t="inlineStr">
        <is>
          <t>EXP-008</t>
        </is>
      </c>
      <c r="B12" s="22" t="inlineStr">
        <is>
          <t>2027-08-10</t>
        </is>
      </c>
      <c r="C12" s="21" t="inlineStr">
        <is>
          <t>Can adversarial prompt injection bypass autonomous sales agent pricing guardrails?</t>
        </is>
      </c>
      <c r="D12" s="19" t="inlineStr">
        <is>
          <t>GPT-4o-mini with NeMo Guardrails</t>
        </is>
      </c>
      <c r="E12" s="21" t="inlineStr">
        <is>
          <t>gpt-4o-mini + NeMo Guardrails v0.8</t>
        </is>
      </c>
      <c r="F12" s="21" t="inlineStr">
        <is>
          <t>30 adversarial jailbreak prompts ('Forget previous instructions', etc.)</t>
        </is>
      </c>
      <c r="G12" s="21" t="inlineStr">
        <is>
          <t>System prompt v4.0 with deterministic code guardrails</t>
        </is>
      </c>
      <c r="H12" s="21" t="inlineStr">
        <is>
          <t>temperature=0.0, code-level price floor validator</t>
        </is>
      </c>
      <c r="I12" s="21" t="inlineStr">
        <is>
          <t>30 adversarial prompt attack suite</t>
        </is>
      </c>
      <c r="J12" s="19" t="inlineStr">
        <is>
          <t>Jailbreak Defense Rate: 100%</t>
        </is>
      </c>
      <c r="K12" s="58" t="inlineStr">
        <is>
          <t>710 ms avg</t>
        </is>
      </c>
      <c r="L12" s="58" t="inlineStr">
        <is>
          <t>$0.00045 / test</t>
        </is>
      </c>
      <c r="M12" s="21" t="inlineStr">
        <is>
          <t>Cloud API + local validator</t>
        </is>
      </c>
      <c r="N12" s="21" t="inlineStr">
        <is>
          <t>LLM was tricked twice by clever roleplay, BUT deterministic code layer caught and blocked the discount.</t>
        </is>
      </c>
      <c r="O12" s="21" t="inlineStr">
        <is>
          <t>Prompt-only defense (failed 6 out of 30 attacks; 80% defense rate)</t>
        </is>
      </c>
      <c r="P12" s="21" t="inlineStr">
        <is>
          <t>NEVER rely solely on prompt instructions for business security. Always enforce hard code-level bounds.</t>
        </is>
      </c>
      <c r="Q12" s="21" t="inlineStr">
        <is>
          <t>Next: Deploy production platform with deterministic audit logger.</t>
        </is>
      </c>
    </row>
  </sheetData>
  <autoFilter ref="A4:Q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5" customWidth="1" min="4" max="4"/>
    <col width="28" customWidth="1" min="5" max="5"/>
    <col width="28" customWidth="1" min="6" max="6"/>
    <col width="20" customWidth="1" min="7" max="7"/>
    <col width="32" customWidth="1" min="8" max="8"/>
    <col width="12" customWidth="1" min="9" max="9"/>
    <col width="28" customWidth="1" min="10" max="10"/>
    <col width="18" customWidth="1" min="11" max="11"/>
    <col width="22" customWidth="1" min="12" max="12"/>
    <col width="14" customWidth="1" min="13" max="13"/>
    <col width="25" customWidth="1" min="14" max="14"/>
    <col width="16" customWidth="1" min="15" max="15"/>
    <col width="24" customWidth="1" min="16" max="16"/>
    <col width="16" customWidth="1" min="17" max="17"/>
    <col width="26" customWidth="1" min="18" max="18"/>
  </cols>
  <sheetData>
    <row r="1" ht="24" customHeight="1">
      <c r="A1" s="12" t="inlineStr">
        <is>
          <t>COMMERCIAL PRODUCT &amp; MARKET VALIDATION TRACKER</t>
        </is>
      </c>
    </row>
    <row r="2" ht="18" customHeight="1">
      <c r="A2" s="2" t="inlineStr">
        <is>
          <t>Customer Discovery, Willingness to Pay, Unit Economics &amp; Pilot Verification for Autonomous Commercial AI Employees</t>
        </is>
      </c>
    </row>
    <row r="4" ht="28" customHeight="1">
      <c r="A4" s="13" t="inlineStr">
        <is>
          <t>Opportunity ID</t>
        </is>
      </c>
      <c r="B4" s="13" t="inlineStr">
        <is>
          <t>Product / Agent Concept</t>
        </is>
      </c>
      <c r="C4" s="13" t="inlineStr">
        <is>
          <t>Target Industry</t>
        </is>
      </c>
      <c r="D4" s="13" t="inlineStr">
        <is>
          <t>Customer Segment</t>
        </is>
      </c>
      <c r="E4" s="13" t="inlineStr">
        <is>
          <t>Customer Core Problem</t>
        </is>
      </c>
      <c r="F4" s="13" t="inlineStr">
        <is>
          <t>Existing Manual Workflow</t>
        </is>
      </c>
      <c r="G4" s="13" t="inlineStr">
        <is>
          <t>Current Cost / Hours</t>
        </is>
      </c>
      <c r="H4" s="13" t="inlineStr">
        <is>
          <t>Proposed Autonomous AI Solution</t>
        </is>
      </c>
      <c r="I4" s="13" t="inlineStr">
        <is>
          <t>Interview Date</t>
        </is>
      </c>
      <c r="J4" s="13" t="inlineStr">
        <is>
          <t>Customer Feedback Summary</t>
        </is>
      </c>
      <c r="K4" s="13" t="inlineStr">
        <is>
          <t>Willingness to Pay ($/mo)</t>
        </is>
      </c>
      <c r="L4" s="13" t="inlineStr">
        <is>
          <t>Competitors &amp; Alternatives</t>
        </is>
      </c>
      <c r="M4" s="13" t="inlineStr">
        <is>
          <t>Technical Feasibility</t>
        </is>
      </c>
      <c r="N4" s="13" t="inlineStr">
        <is>
          <t>Integration Requirements</t>
        </is>
      </c>
      <c r="O4" s="13" t="inlineStr">
        <is>
          <t>Est. Operating Cost ($/mo)</t>
        </is>
      </c>
      <c r="P4" s="13" t="inlineStr">
        <is>
          <t>Expected Business ROI</t>
        </is>
      </c>
      <c r="Q4" s="13" t="inlineStr">
        <is>
          <t>Validation Status</t>
        </is>
      </c>
      <c r="R4" s="13" t="inlineStr">
        <is>
          <t>Next Action</t>
        </is>
      </c>
    </row>
    <row r="5" ht="50" customHeight="1">
      <c r="A5" s="14" t="inlineStr">
        <is>
          <t>VAL-001</t>
        </is>
      </c>
      <c r="B5" s="15" t="inlineStr">
        <is>
          <t>Autonomous Inbound SDR for B2B SaaS</t>
        </is>
      </c>
      <c r="C5" s="16" t="inlineStr">
        <is>
          <t>B2B SaaS / Tech Startups</t>
        </is>
      </c>
      <c r="D5" s="16" t="inlineStr">
        <is>
          <t>Mid-market sales directors &amp; founders (10-50 employees)</t>
        </is>
      </c>
      <c r="E5" s="16" t="inlineStr">
        <is>
          <t>Leads who sign up on website wait 4-24 hours for follow-up; 50% drop off to competitors.</t>
        </is>
      </c>
      <c r="F5" s="16" t="inlineStr">
        <is>
          <t>Junior SDRs manually review form submissions, research company on LinkedIn, and send template emails.</t>
        </is>
      </c>
      <c r="G5" s="16" t="inlineStr">
        <is>
          <t>$4,500/mo salary per junior SDR + $500/mo tooling; 35 hours/week spent on manual qualification.</t>
        </is>
      </c>
      <c r="H5" s="16" t="inlineStr">
        <is>
          <t>Autonomous AI Sales Employee that responds within 60 seconds, qualifies via interactive chat/email, and books demos directly on rep calendars.</t>
        </is>
      </c>
      <c r="I5" s="17" t="inlineStr">
        <is>
          <t>2027-02-15</t>
        </is>
      </c>
      <c r="J5" s="16" t="inlineStr">
        <is>
          <t>Founders enthusiastic about sub-minute response time; primary concern is AI hallucinating features or making commitments.</t>
        </is>
      </c>
      <c r="K5" s="15" t="inlineStr">
        <is>
          <t>$499 - $1,200 / month</t>
        </is>
      </c>
      <c r="L5" s="16" t="inlineStr">
        <is>
          <t>Drift, Qualified, Intercom Fin, human SDR agencies</t>
        </is>
      </c>
      <c r="M5" s="14" t="inlineStr">
        <is>
          <t>High</t>
        </is>
      </c>
      <c r="N5" s="16" t="inlineStr">
        <is>
          <t>HubSpot CRM, Google Calendar, Slack webhooks, SendGrid</t>
        </is>
      </c>
      <c r="O5" s="16" t="inlineStr">
        <is>
          <t>$25 - $45 / month (tokens &amp; cloud)</t>
        </is>
      </c>
      <c r="P5" s="16" t="inlineStr">
        <is>
          <t>3x increase in qualified demo bookings; pays for itself within first closed customer.</t>
        </is>
      </c>
      <c r="Q5" s="14" t="inlineStr">
        <is>
          <t>Solution Validated</t>
        </is>
      </c>
      <c r="R5" s="16" t="inlineStr">
        <is>
          <t>Build working interactive prototype for 3 pilot SaaS companies.</t>
        </is>
      </c>
    </row>
    <row r="6" ht="50" customHeight="1">
      <c r="A6" s="19" t="inlineStr">
        <is>
          <t>VAL-002</t>
        </is>
      </c>
      <c r="B6" s="20" t="inlineStr">
        <is>
          <t>Real Estate WhatsApp Inbound Qualifier &amp; Booking Agent</t>
        </is>
      </c>
      <c r="C6" s="21" t="inlineStr">
        <is>
          <t>Real Estate Agencies</t>
        </is>
      </c>
      <c r="D6" s="21" t="inlineStr">
        <is>
          <t>Independent brokerage owners &amp; top-producing real estate agents</t>
        </is>
      </c>
      <c r="E6" s="21" t="inlineStr">
        <is>
          <t>Brokers receive 100+ WhatsApp inquiries daily from portal listings; 70% are unqualified browsers, wasting hours of agent time.</t>
        </is>
      </c>
      <c r="F6" s="21" t="inlineStr">
        <is>
          <t>Agents manually reply to each WhatsApp message, ask budget/location questions, and send PDF brochures.</t>
        </is>
      </c>
      <c r="G6" s="21" t="inlineStr">
        <is>
          <t>$2,500/mo admin assistant salary; agents lose high-value buyers while chatting with unqualified renters.</t>
        </is>
      </c>
      <c r="H6" s="21" t="inlineStr">
        <is>
          <t>WhatsApp AI Sales Concierge that engages immediately, verifies buyer pre-approval &amp; budget, shares matching listings, and schedules property viewings.</t>
        </is>
      </c>
      <c r="I6" s="22" t="inlineStr">
        <is>
          <t>2027-04-10</t>
        </is>
      </c>
      <c r="J6" s="21" t="inlineStr">
        <is>
          <t>Brokers love WhatsApp integration; must strictly avoid answering legal/title questions and hand off to licensed agents.</t>
        </is>
      </c>
      <c r="K6" s="20" t="inlineStr">
        <is>
          <t>$299 - $600 / month + $10/booked tour</t>
        </is>
      </c>
      <c r="L6" s="21" t="inlineStr">
        <is>
          <t>ManyChat, standard WhatsApp bots, human VAs</t>
        </is>
      </c>
      <c r="M6" s="19" t="inlineStr">
        <is>
          <t>High</t>
        </is>
      </c>
      <c r="N6" s="21" t="inlineStr">
        <is>
          <t>Meta WhatsApp Cloud API, Property MLS database / Airtable, Google Calendar</t>
        </is>
      </c>
      <c r="O6" s="21" t="inlineStr">
        <is>
          <t>$30 - $60 / month</t>
        </is>
      </c>
      <c r="P6" s="21" t="inlineStr">
        <is>
          <t>Saves 25 agent hours weekly and ensures zero missed leads on weekends and evenings.</t>
        </is>
      </c>
      <c r="Q6" s="19" t="inlineStr">
        <is>
          <t>Problem Confirmed</t>
        </is>
      </c>
      <c r="R6" s="21" t="inlineStr">
        <is>
          <t>Connect LangGraph agent to WhatsApp sandbox with sample property catalog.</t>
        </is>
      </c>
    </row>
    <row r="7" ht="50" customHeight="1">
      <c r="A7" s="14" t="inlineStr">
        <is>
          <t>VAL-003</t>
        </is>
      </c>
      <c r="B7" s="15" t="inlineStr">
        <is>
          <t>Solar &amp; Home Services Appointment Setting Agent</t>
        </is>
      </c>
      <c r="C7" s="16" t="inlineStr">
        <is>
          <t>Residential Solar &amp; HVAC</t>
        </is>
      </c>
      <c r="D7" s="16" t="inlineStr">
        <is>
          <t>Operations managers &amp; sales leaders at residential solar contractors</t>
        </is>
      </c>
      <c r="E7" s="16" t="inlineStr">
        <is>
          <t>Homeowners request quotes online but ignore phone calls; cost per lead is $150+, and uncontacted leads burn marketing spend.</t>
        </is>
      </c>
      <c r="F7" s="16" t="inlineStr">
        <is>
          <t>Call center reps dial leads 5-8 times across 2 weeks; average contact rate is under 18%.</t>
        </is>
      </c>
      <c r="G7" s="16" t="inlineStr">
        <is>
          <t>$30,000/mo call center overhead; $150 customer acquisition cost per raw uncontacted lead.</t>
        </is>
      </c>
      <c r="H7" s="16" t="inlineStr">
        <is>
          <t>Omnichannel AI agent initiating instant SMS/WhatsApp and email follow-up sequence, calculating roof solar viability via RAG, and booking on-site consultations.</t>
        </is>
      </c>
      <c r="I7" s="17" t="inlineStr">
        <is>
          <t>2027-06-05</t>
        </is>
      </c>
      <c r="J7" s="16" t="inlineStr">
        <is>
          <t>Extreme urgency: lead acquisition costs are rising; converting 5% more leads doubles net profitability.</t>
        </is>
      </c>
      <c r="K7" s="15" t="inlineStr">
        <is>
          <t>$800 - $2,000 / month (or $50 / completed appointment)</t>
        </is>
      </c>
      <c r="L7" s="16" t="inlineStr">
        <is>
          <t>Podium, Verse.io, offshore call centers</t>
        </is>
      </c>
      <c r="M7" s="14" t="inlineStr">
        <is>
          <t>High</t>
        </is>
      </c>
      <c r="N7" s="16" t="inlineStr">
        <is>
          <t>Twilio SMS, Google Maps API, Jobber / ServiceTitan CRM</t>
        </is>
      </c>
      <c r="O7" s="16" t="inlineStr">
        <is>
          <t>$50 - $90 / month</t>
        </is>
      </c>
      <c r="P7" s="16" t="inlineStr">
        <is>
          <t>Increases lead contact rate from 18% to 45%; 200%+ ROI in month 1.</t>
        </is>
      </c>
      <c r="Q7" s="14" t="inlineStr">
        <is>
          <t>Customer Interviewed</t>
        </is>
      </c>
      <c r="R7" s="16" t="inlineStr">
        <is>
          <t>Draft technical scope integrating Google Solar API with WhatsApp agent.</t>
        </is>
      </c>
    </row>
    <row r="8" ht="50" customHeight="1">
      <c r="A8" s="19" t="inlineStr">
        <is>
          <t>VAL-004</t>
        </is>
      </c>
      <c r="B8" s="20" t="inlineStr">
        <is>
          <t>E-Commerce Cart Abandonment &amp; Negotiation Concierge</t>
        </is>
      </c>
      <c r="C8" s="21" t="inlineStr">
        <is>
          <t>Direct-to-Consumer (DTC) E-Commerce</t>
        </is>
      </c>
      <c r="D8" s="21" t="inlineStr">
        <is>
          <t>E-commerce brand owners with average order value (AOV) &gt; $150</t>
        </is>
      </c>
      <c r="E8" s="21" t="inlineStr">
        <is>
          <t>Shoppers abandon carts on high-ticket items ($200-$1,000) due to shipping costs, product questions, or indecision.</t>
        </is>
      </c>
      <c r="F8" s="21" t="inlineStr">
        <is>
          <t>Generic automated 10% discount email sequence sent 24 hours later; low engagement rate (8-12%).</t>
        </is>
      </c>
      <c r="G8" s="21" t="inlineStr">
        <is>
          <t>Loss of $50,000+ in abandoned cart revenue monthly for average store.</t>
        </is>
      </c>
      <c r="H8" s="21" t="inlineStr">
        <is>
          <t>AI Sales Employee reaching out via SMS/WhatsApp within 15 minutes, answering product sizing/compatibility questions, and offering dynamic authorized discounts.</t>
        </is>
      </c>
      <c r="I8" s="22" t="inlineStr">
        <is>
          <t>2027-07-12</t>
        </is>
      </c>
      <c r="J8" s="21" t="inlineStr">
        <is>
          <t>E-commerce owners want tight guardrails on discounts and easy Shopify App Store installation.</t>
        </is>
      </c>
      <c r="K8" s="20" t="inlineStr">
        <is>
          <t>$399 / month + 3% revenue share on recovered sales</t>
        </is>
      </c>
      <c r="L8" s="21" t="inlineStr">
        <is>
          <t>Klaviyo SMS, Gorgias, Cartloop</t>
        </is>
      </c>
      <c r="M8" s="19" t="inlineStr">
        <is>
          <t>Medium</t>
        </is>
      </c>
      <c r="N8" s="21" t="inlineStr">
        <is>
          <t>Shopify API, Klaviyo, WhatsApp / Twilio SMS</t>
        </is>
      </c>
      <c r="O8" s="21" t="inlineStr">
        <is>
          <t>$40 - $70 / month</t>
        </is>
      </c>
      <c r="P8" s="21" t="inlineStr">
        <is>
          <t>Recovers an extra $8,000 - $15,000 in monthly sales with zero staff intervention.</t>
        </is>
      </c>
      <c r="Q8" s="19" t="inlineStr">
        <is>
          <t>Idea</t>
        </is>
      </c>
      <c r="R8" s="21" t="inlineStr">
        <is>
          <t>Build Shopify mock webhook listening for `carts/create` event.</t>
        </is>
      </c>
    </row>
    <row r="9" ht="50" customHeight="1">
      <c r="A9" s="14" t="inlineStr">
        <is>
          <t>VAL-005</t>
        </is>
      </c>
      <c r="B9" s="15" t="inlineStr">
        <is>
          <t>IT Services Scope &amp; Proposal Drafting Agent</t>
        </is>
      </c>
      <c r="C9" s="16" t="inlineStr">
        <is>
          <t>B2B IT &amp; Software Agencies</t>
        </is>
      </c>
      <c r="D9" s="16" t="inlineStr">
        <is>
          <t>Agency founders &amp; technical account executives (5-30 developers)</t>
        </is>
      </c>
      <c r="E9" s="16" t="inlineStr">
        <is>
          <t>Scoping customer custom software requests and drafting formal 15-page PDF proposals takes 10-15 hours per lead.</t>
        </is>
      </c>
      <c r="F9" s="16" t="inlineStr">
        <is>
          <t>Senior engineers and founders spend weekend hours writing scope documents, deliverables lists, and rate cards.</t>
        </is>
      </c>
      <c r="G9" s="16" t="inlineStr">
        <is>
          <t>$150/hr senior engineering opportunity cost; $1,500+ cost per proposal drafted.</t>
        </is>
      </c>
      <c r="H9" s="16" t="inlineStr">
        <is>
          <t>AI Sales Engineer that analyzes client requirements transcripts, drafts complete technical specification, line-item pricing, and generates branded PDF quote.</t>
        </is>
      </c>
      <c r="I9" s="17" t="inlineStr">
        <is>
          <t>2027-08-20</t>
        </is>
      </c>
      <c r="J9" s="16" t="inlineStr">
        <is>
          <t>Agencies excited about saving founder time; must allow easy human review and line-item adjustment before client receives PDF.</t>
        </is>
      </c>
      <c r="K9" s="15" t="inlineStr">
        <is>
          <t>$499 - $999 / month</t>
        </is>
      </c>
      <c r="L9" s="16" t="inlineStr">
        <is>
          <t>Proposify, PandaDoc, manual Google Docs</t>
        </is>
      </c>
      <c r="M9" s="14" t="inlineStr">
        <is>
          <t>High</t>
        </is>
      </c>
      <c r="N9" s="16" t="inlineStr">
        <is>
          <t>FastAPI backend, ReportLab PDF, OpenAI Structured Outputs, Slack</t>
        </is>
      </c>
      <c r="O9" s="16" t="inlineStr">
        <is>
          <t>$35 - $50 / month</t>
        </is>
      </c>
      <c r="P9" s="16" t="inlineStr">
        <is>
          <t>Cuts proposal preparation time from 12 hours to 30 minutes; doubles quote turnaround speed.</t>
        </is>
      </c>
      <c r="Q9" s="14" t="inlineStr">
        <is>
          <t>Solution Validated</t>
        </is>
      </c>
      <c r="R9" s="16" t="inlineStr">
        <is>
          <t>Implement PDF quotation tool with ReportLab and Jinja2 templates (PRJ-008).</t>
        </is>
      </c>
    </row>
    <row r="10" ht="50" customHeight="1">
      <c r="A10" s="19" t="inlineStr">
        <is>
          <t>VAL-006</t>
        </is>
      </c>
      <c r="B10" s="20" t="inlineStr">
        <is>
          <t>Automated Commercial Fleet &amp; Freight Brokerage Assistant</t>
        </is>
      </c>
      <c r="C10" s="21" t="inlineStr">
        <is>
          <t>Logistics &amp; Freight Brokerage</t>
        </is>
      </c>
      <c r="D10" s="21" t="inlineStr">
        <is>
          <t>Freight brokers &amp; mid-size trucking fleet dispatchers</t>
        </is>
      </c>
      <c r="E10" s="21" t="inlineStr">
        <is>
          <t>Brokers spend hours answering carrier phone calls asking 'is this load still available?' and negotiating per-mile rates.</t>
        </is>
      </c>
      <c r="F10" s="21" t="inlineStr">
        <is>
          <t>Brokers manually answer phone calls and emails, check TMS database, and haggle rates within $0.20/mile buffer.</t>
        </is>
      </c>
      <c r="G10" s="21" t="inlineStr">
        <is>
          <t>$3,500/mo freight coordinator salary per seat; high turnover and stress.</t>
        </is>
      </c>
      <c r="H10" s="21" t="inlineStr">
        <is>
          <t>AI Dispatch Employee answering email &amp; web freight inquiries, confirming truck capacity, negotiating rate within predefined buffer, and generating rate confirmations.</t>
        </is>
      </c>
      <c r="I10" s="22" t="inlineStr">
        <is>
          <t>2027-09-08</t>
        </is>
      </c>
      <c r="J10" s="21" t="inlineStr">
        <is>
          <t>High volume, but industry has legacy software; TMS integration via API or email parser is mandatory.</t>
        </is>
      </c>
      <c r="K10" s="20" t="inlineStr">
        <is>
          <t>$600 - $1,500 / month per dispatcher seat</t>
        </is>
      </c>
      <c r="L10" s="21" t="inlineStr">
        <is>
          <t>Truckstop.com, DAT loadboards, manual broker teams</t>
        </is>
      </c>
      <c r="M10" s="19" t="inlineStr">
        <is>
          <t>Medium</t>
        </is>
      </c>
      <c r="N10" s="21" t="inlineStr">
        <is>
          <t>Transportation Management System (TMS) API / Email webhooks, PDF parser</t>
        </is>
      </c>
      <c r="O10" s="21" t="inlineStr">
        <is>
          <t>$45 - $80 / month</t>
        </is>
      </c>
      <c r="P10" s="21" t="inlineStr">
        <is>
          <t>Allows a 5-broker office to handle double the freight volume without adding staff.</t>
        </is>
      </c>
      <c r="Q10" s="19" t="inlineStr">
        <is>
          <t>Problem Confirmed</t>
        </is>
      </c>
      <c r="R10" s="21" t="inlineStr">
        <is>
          <t>Identify open TMS API sandbox for logistics load query integration.</t>
        </is>
      </c>
    </row>
  </sheetData>
  <autoFilter ref="A4:R10"/>
  <dataValidations count="2">
    <dataValidation sqref="Q5:Q10" showDropDown="0" showInputMessage="0" showErrorMessage="0" allowBlank="1" type="list">
      <formula1>"Idea,Customer Interviewed,Problem Confirmed,Solution Validated,Pilot Running,Paid Pre-order,Abandoned"</formula1>
    </dataValidation>
    <dataValidation sqref="M5:M1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2026-10-19T04:06:58Z</dcterms:created>
  <dcterms:modified xsi:type="dcterms:W3CDTF">2026-10-19T04:06:58Z</dcterms:modified>
</cp:coreProperties>
</file>